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26ac46a36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5da53040f1f4dc2"/>
    <x:sheet xmlns:r="http://schemas.openxmlformats.org/officeDocument/2006/relationships" name="Round A Review" sheetId="2" r:id="R12efc5832c814e8f"/>
    <x:sheet xmlns:r="http://schemas.openxmlformats.org/officeDocument/2006/relationships" name="Choice Guide" sheetId="3" r:id="R0000d45429e34153"/>
    <x:sheet xmlns:r="http://schemas.openxmlformats.org/officeDocument/2006/relationships" name="Reviewer Declaration" sheetId="4" r:id="R35e75faef5e54190"/>
    <x:sheet xmlns:r="http://schemas.openxmlformats.org/officeDocument/2006/relationships" name="Locked CSV Export" sheetId="5" r:id="Ra4e9d6128d654086"/>
    <x:sheet xmlns:r="http://schemas.openxmlformats.org/officeDocument/2006/relationships" name="Round A Lock" sheetId="6" r:id="Rab62901235f3424f"/>
  </x:sheets>
</x:workbook>
</file>

<file path=xl/sharedStrings.xml><?xml version="1.0" encoding="utf-8"?>
<x:sst xmlns:x="http://schemas.openxmlformats.org/spreadsheetml/2006/main">
  <x:si>
    <x:t xml:space="preserve">MokXya MAI-07R3 — Round A Human Policy Review</x:t>
  </x:si>
  <x:si>
    <x:t xml:space="preserve">Human review only — no answer has been prefilled, ranked, or suggested by AI.</x:t>
  </x:si>
  <x:si>
    <x:t xml:space="preserve">Review status</x:t>
  </x:si>
  <x:si>
    <x:t xml:space="preserve">Value</x:t>
  </x:si>
  <x:si>
    <x:t xml:space="preserve">Meaning</x:t>
  </x:si>
  <x:si>
    <x:t xml:space="preserve">Required action</x:t>
  </x:si>
  <x:si>
    <x:t xml:space="preserve">Total cases</x:t>
  </x:si>
  <x:si>
    <x:t xml:space="preserve">Blinded items in Round A</x:t>
  </x:si>
  <x:si>
    <x:t xml:space="preserve">Review all 149 independently</x:t>
  </x:si>
  <x:si>
    <x:t xml:space="preserve">Complete</x:t>
  </x:si>
  <x:si>
    <x:t xml:space="preserve">All five answer fields completed</x:t>
  </x:si>
  <x:si>
    <x:t xml:space="preserve">Reach 149 before locking</x:t>
  </x:si>
  <x:si>
    <x:t xml:space="preserve">Pending</x:t>
  </x:si>
  <x:si>
    <x:t xml:space="preserve">One or more answer fields blank</x:t>
  </x:si>
  <x:si>
    <x:t xml:space="preserve">Finish these rows</x:t>
  </x:si>
  <x:si>
    <x:t xml:space="preserve">Consistency checks</x:t>
  </x:si>
  <x:si>
    <x:t xml:space="preserve">Obvious policy/retention contradiction</x:t>
  </x:si>
  <x:si>
    <x:t xml:space="preserve">Recheck; do not change just to improve a score</x:t>
  </x:si>
  <x:si>
    <x:t xml:space="preserve">Progress</x:t>
  </x:si>
  <x:si>
    <x:t xml:space="preserve">Completion percentage</x:t>
  </x:si>
  <x:si>
    <x:t xml:space="preserve">Round A locks only after 100% and zero checks</x:t>
  </x:si>
  <x:si>
    <x:t xml:space="preserve">Exact workflow</x:t>
  </x:si>
  <x:si>
    <x:t xml:space="preserve">1. Complete only the yellow cells in ‘Round A Review’. Do not open Round B or the blind mapping.</x:t>
  </x:si>
  <x:si>
    <x:t xml:space="preserve">2. Judge each row independently. Do not try to make the system pass an evaluation score.</x:t>
  </x:si>
  <x:si>
    <x:t xml:space="preserve">3. Use ‘Choice Guide’ when a term is unclear. Choose CANNOT_DECIDE instead of guessing.</x:t>
  </x:si>
  <x:si>
    <x:t xml:space="preserve">4. Write a short human reason for every row; one clear sentence is enough.</x:t>
  </x:si>
  <x:si>
    <x:t xml:space="preserve">5. Complete ‘Reviewer Declaration’. Do not claim professional-linguist status unless true.</x:t>
  </x:si>
  <x:si>
    <x:t xml:space="preserve">6. Return this workbook for validation. Round B begins only after Round A is locked.</x:t>
  </x:si>
  <x:si>
    <x:t xml:space="preserve">Recommended provisional policy (Option A)</x:t>
  </x:si>
  <x:si>
    <x:t xml:space="preserve">Clear Romanized Nepali → DEVANAGARI_TARGET_REQUIRED; retain identity as an alternative.</x:t>
  </x:si>
  <x:si>
    <x:t xml:space="preserve">Clear English term, acronym or identifier → Latin identity first; do not force Devanagari.</x:t>
  </x:si>
  <x:si>
    <x:t xml:space="preserve">Proper name/entity → Latin identity preferred; Devanagari may be optional and review-marked.</x:t>
  </x:si>
  <x:si>
    <x:t xml:space="preserve">Nepali loanword written in Latin → decide from context; do not treat every domain-looking word alike.</x:t>
  </x:si>
  <x:si>
    <x:t xml:space="preserve">Genuine ambiguity → BOTH_EQUAL_REVIEW_REQUIRED or CANNOT_DECIDE.</x:t>
  </x:si>
  <x:si>
    <x:t xml:space="preserve">IMPORTANT: Do not let Cursor, ChatGPT, or another AI fill the human-decision columns. Assistance may explain an option, but the final judgment must be yours.</x:t>
  </x:si>
  <x:si>
    <x:t xml:space="preserve">Round A — Human Decisions</x:t>
  </x:si>
  <x:si>
    <x:t xml:space="preserve">Yellow columns are editable. Source text and IDs are blinded and must not be changed. Use CANNOT_DECIDE rather than guessing.</x:t>
  </x:si>
  <x:si>
    <x:t xml:space="preserve">Case #</x:t>
  </x:si>
  <x:si>
    <x:t xml:space="preserve">Review ID</x:t>
  </x:si>
  <x:si>
    <x:t xml:space="preserve">Input Text</x:t>
  </x:si>
  <x:si>
    <x:t xml:space="preserve">Highlighted Span</x:t>
  </x:si>
  <x:si>
    <x:t xml:space="preserve">Span Class</x:t>
  </x:si>
  <x:si>
    <x:t xml:space="preserve">Preferred Rank Policy</x:t>
  </x:si>
  <x:si>
    <x:t xml:space="preserve">Devanagari Retention</x:t>
  </x:si>
  <x:si>
    <x:t xml:space="preserve">Confidence</x:t>
  </x:si>
  <x:si>
    <x:t xml:space="preserve">Human Reasoning</x:t>
  </x:si>
  <x:si>
    <x:t xml:space="preserve">Completion</x:t>
  </x:si>
  <x:si>
    <x:t xml:space="preserve">Consistency</x:t>
  </x:si>
  <x:si>
    <x:t xml:space="preserve">R3A-39CE6CDF4E01</x:t>
  </x:si>
  <x:si>
    <x:t xml:space="preserve">by</x:t>
  </x:si>
  <x:si>
    <x:t xml:space="preserve">ENGLISH_TERM</x:t>
  </x:si>
  <x:si>
    <x:t xml:space="preserve">LATIN_IDENTITY_REQUIRED</x:t>
  </x:si>
  <x:si>
    <x:t xml:space="preserve">OPTIONAL</x:t>
  </x:si>
  <x:si>
    <x:t xml:space="preserve">HIGH</x:t>
  </x:si>
  <x:si>
    <x:t xml:space="preserve">It is English word</x:t>
  </x:si>
  <x:si>
    <x:t xml:space="preserve">R3A-D928292459B8</x:t>
  </x:si>
  <x:si>
    <x:t xml:space="preserve">foobar</x:t>
  </x:si>
  <x:si>
    <x:t xml:space="preserve">INVALID_OR_UNCLEAR</x:t>
  </x:si>
  <x:si>
    <x:t xml:space="preserve">CANNOT_DECIDE</x:t>
  </x:si>
  <x:si>
    <x:t xml:space="preserve">MEDIUM</x:t>
  </x:si>
  <x:si>
    <x:t xml:space="preserve">I do not know whether it is in english or nepali, which language is it</x:t>
  </x:si>
  <x:si>
    <x:t xml:space="preserve">R3A-5F1F96BF1D8A</x:t>
  </x:si>
  <x:si>
    <x:t xml:space="preserve">namaste</x:t>
  </x:si>
  <x:si>
    <x:t xml:space="preserve">ROMANIZED_NEPALI</x:t>
  </x:si>
  <x:si>
    <x:t xml:space="preserve">DEVANAGARI_TARGET_REQUIRED</x:t>
  </x:si>
  <x:si>
    <x:t xml:space="preserve">REQUIRED</x:t>
  </x:si>
  <x:si>
    <x:t xml:space="preserve">Nepali term written in Romanized</x:t>
  </x:si>
  <x:si>
    <x:t xml:space="preserve">R3A-E4A4DA896D92</x:t>
  </x:si>
  <x:si>
    <x:t xml:space="preserve">debit</x:t>
  </x:si>
  <x:si>
    <x:t xml:space="preserve">BOTH_EQUAL_REVIEW_REQUIRED</x:t>
  </x:si>
  <x:si>
    <x:t xml:space="preserve">In nepali also it can be romanized word with same meaning, it can  also be name of any human</x:t>
  </x:si>
  <x:si>
    <x:t xml:space="preserve">R3A-E5A7E27F52DC</x:t>
  </x:si>
  <x:si>
    <x:t xml:space="preserve">is</x:t>
  </x:si>
  <x:si>
    <x:t xml:space="preserve">English but can also come in connection with other words in Romanized english</x:t>
  </x:si>
  <x:si>
    <x:t xml:space="preserve">R3A-08D2D9E18C3E</x:t>
  </x:si>
  <x:si>
    <x:t xml:space="preserve">I do not know whether it is in english or nepali, which language is it, in any context it may have any meaning</x:t>
  </x:si>
  <x:si>
    <x:t xml:space="preserve">R3A-347C5BF89E23</x:t>
  </x:si>
  <x:si>
    <x:t xml:space="preserve">dhanyabad</x:t>
  </x:si>
  <x:si>
    <x:t xml:space="preserve">R3A-2D51C4838C53</x:t>
  </x:si>
  <x:si>
    <x:t xml:space="preserve">of</x:t>
  </x:si>
  <x:si>
    <x:t xml:space="preserve">R3A-70E44521539E</x:t>
  </x:si>
  <x:si>
    <x:t xml:space="preserve">qwerty</x:t>
  </x:si>
  <x:si>
    <x:t xml:space="preserve">R3A-3E876C1291B7</x:t>
  </x:si>
  <x:si>
    <x:t xml:space="preserve">R3A-39EB0539DAC9</x:t>
  </x:si>
  <x:si>
    <x:t xml:space="preserve">purchase</x:t>
  </x:si>
  <x:si>
    <x:t xml:space="preserve">R3A-A5F31D8C84CB</x:t>
  </x:si>
  <x:si>
    <x:t xml:space="preserve">jaanu</x:t>
  </x:si>
  <x:si>
    <x:t xml:space="preserve">R3A-CC3C5545DFF2</x:t>
  </x:si>
  <x:si>
    <x:t xml:space="preserve">sale</x:t>
  </x:si>
  <x:si>
    <x:t xml:space="preserve">R3A-CDED5E4068C3</x:t>
  </x:si>
  <x:si>
    <x:t xml:space="preserve">advance</x:t>
  </x:si>
  <x:si>
    <x:t xml:space="preserve">R3A-FD1643D2A572</x:t>
  </x:si>
  <x:si>
    <x:t xml:space="preserve">xyzzy</x:t>
  </x:si>
  <x:si>
    <x:t xml:space="preserve">R3A-CBCF674A4003</x:t>
  </x:si>
  <x:si>
    <x:t xml:space="preserve">report</x:t>
  </x:si>
  <x:si>
    <x:t xml:space="preserve">R3A-D81C5B5C3197</x:t>
  </x:si>
  <x:si>
    <x:t xml:space="preserve">due</x:t>
  </x:si>
  <x:si>
    <x:t xml:space="preserve">R3A-2CAD17A31352</x:t>
  </x:si>
  <x:si>
    <x:t xml:space="preserve">total</x:t>
  </x:si>
  <x:si>
    <x:t xml:space="preserve">R3A-C55159DEA9B4</x:t>
  </x:si>
  <x:si>
    <x:t xml:space="preserve">balance</x:t>
  </x:si>
  <x:si>
    <x:t xml:space="preserve">R3A-6D65C017CF24</x:t>
  </x:si>
  <x:si>
    <x:t xml:space="preserve">lekh</x:t>
  </x:si>
  <x:si>
    <x:t xml:space="preserve">R3A-433EDC9F6C5E</x:t>
  </x:si>
  <x:si>
    <x:t xml:space="preserve">dherai</x:t>
  </x:si>
  <x:si>
    <x:t xml:space="preserve">R3A-79B012C03064</x:t>
  </x:si>
  <x:si>
    <x:t xml:space="preserve">sabai</x:t>
  </x:si>
  <x:si>
    <x:t xml:space="preserve">R3A-589DC1F8F577</x:t>
  </x:si>
  <x:si>
    <x:t xml:space="preserve">voucher</x:t>
  </x:si>
  <x:si>
    <x:t xml:space="preserve">R3A-249ADDBC500F</x:t>
  </x:si>
  <x:si>
    <x:t xml:space="preserve">amount</x:t>
  </x:si>
  <x:si>
    <x:t xml:space="preserve">R3A-C7D45E4B6625</x:t>
  </x:si>
  <x:si>
    <x:t xml:space="preserve">znxg</x:t>
  </x:si>
  <x:si>
    <x:t xml:space="preserve">R3A-1ECE91757DA9</x:t>
  </x:si>
  <x:si>
    <x:t xml:space="preserve">blorp</x:t>
  </x:si>
  <x:si>
    <x:t xml:space="preserve">R3A-1E521567ADDA</x:t>
  </x:si>
  <x:si>
    <x:t xml:space="preserve">mary</x:t>
  </x:si>
  <x:si>
    <x:t xml:space="preserve">R3A-F3D8DE0BFE22</x:t>
  </x:si>
  <x:si>
    <x:t xml:space="preserve">R3A-BA4616E7C135</x:t>
  </x:si>
  <x:si>
    <x:t xml:space="preserve">owner</x:t>
  </x:si>
  <x:si>
    <x:t xml:space="preserve">R3A-52B1B116547F</x:t>
  </x:si>
  <x:si>
    <x:t xml:space="preserve">anita</x:t>
  </x:si>
  <x:si>
    <x:t xml:space="preserve">In nepali context it refeerse to name of a Lady</x:t>
  </x:si>
  <x:si>
    <x:t xml:space="preserve">R3A-DEC366606C62</x:t>
  </x:si>
  <x:si>
    <x:t xml:space="preserve">ram</x:t>
  </x:si>
  <x:si>
    <x:t xml:space="preserve">In nepali context it refeerse to name of a jeants</x:t>
  </x:si>
  <x:si>
    <x:t xml:space="preserve">R3A-E835A1D01157</x:t>
  </x:si>
  <x:si>
    <x:t xml:space="preserve">gita</x:t>
  </x:si>
  <x:si>
    <x:t xml:space="preserve">R3A-F16AFA9E4AC3</x:t>
  </x:si>
  <x:si>
    <x:t xml:space="preserve">kineko</x:t>
  </x:si>
  <x:si>
    <x:t xml:space="preserve">R3A-2573D516AAC5</x:t>
  </x:si>
  <x:si>
    <x:t xml:space="preserve">sunnu</x:t>
  </x:si>
  <x:si>
    <x:t xml:space="preserve">R3A-11C576A29373</x:t>
  </x:si>
  <x:si>
    <x:t xml:space="preserve">loss</x:t>
  </x:si>
  <x:si>
    <x:t xml:space="preserve">R3A-458970948EDF</x:t>
  </x:si>
  <x:si>
    <x:t xml:space="preserve">unit</x:t>
  </x:si>
  <x:si>
    <x:t xml:space="preserve">R3A-B4C60C073F8C</x:t>
  </x:si>
  <x:si>
    <x:t xml:space="preserve">supplier</x:t>
  </x:si>
  <x:si>
    <x:t xml:space="preserve">R3A-CFE4B5AA9EC9</x:t>
  </x:si>
  <x:si>
    <x:t xml:space="preserve">aja</x:t>
  </x:si>
  <x:si>
    <x:t xml:space="preserve">R3A-8C7D6F3ED27B</x:t>
  </x:si>
  <x:si>
    <x:t xml:space="preserve">preeti</x:t>
  </x:si>
  <x:si>
    <x:t xml:space="preserve">R3A-DD00E9658A07</x:t>
  </x:si>
  <x:si>
    <x:t xml:space="preserve">garidim</x:t>
  </x:si>
  <x:si>
    <x:t xml:space="preserve">R3A-19BD164EF09F</x:t>
  </x:si>
  <x:si>
    <x:t xml:space="preserve">ledger</x:t>
  </x:si>
  <x:si>
    <x:t xml:space="preserve">R3A-746D07D2BE40</x:t>
  </x:si>
  <x:si>
    <x:t xml:space="preserve">dekhau</x:t>
  </x:si>
  <x:si>
    <x:t xml:space="preserve">R3A-2DC856D4D6FF</x:t>
  </x:si>
  <x:si>
    <x:t xml:space="preserve">xu</x:t>
  </x:si>
  <x:si>
    <x:t xml:space="preserve">R3A-1C07AF58CC39</x:t>
  </x:si>
  <x:si>
    <x:t xml:space="preserve">ram dai aayo</x:t>
  </x:si>
  <x:si>
    <x:t xml:space="preserve">In nepali context it refeerse to name of a male</x:t>
  </x:si>
  <x:si>
    <x:t xml:space="preserve">R3A-0A1601A427F9</x:t>
  </x:si>
  <x:si>
    <x:t xml:space="preserve">R3A-9DD5A68A1E47</x:t>
  </x:si>
  <x:si>
    <x:t xml:space="preserve">thana</x:t>
  </x:si>
  <x:si>
    <x:t xml:space="preserve">it means station like police thana means police station</x:t>
  </x:si>
  <x:si>
    <x:t xml:space="preserve">R3A-87A3E123EEB2</x:t>
  </x:si>
  <x:si>
    <x:t xml:space="preserve">hari</x:t>
  </x:si>
  <x:si>
    <x:t xml:space="preserve">R3A-3D948BB91CB2</x:t>
  </x:si>
  <x:si>
    <x:t xml:space="preserve">commission</x:t>
  </x:si>
  <x:si>
    <x:t xml:space="preserve">R3A-0F7FBD8EB910</x:t>
  </x:si>
  <x:si>
    <x:t xml:space="preserve">party</x:t>
  </x:si>
  <x:si>
    <x:t xml:space="preserve">R3A-4B43CD1650FC</x:t>
  </x:si>
  <x:si>
    <x:t xml:space="preserve">ghata</x:t>
  </x:si>
  <x:si>
    <x:t xml:space="preserve">R3A-473762AA5C8F</x:t>
  </x:si>
  <x:si>
    <x:t xml:space="preserve">bholi</x:t>
  </x:si>
  <x:si>
    <x:t xml:space="preserve">R3A-91E0F15B74E7</x:t>
  </x:si>
  <x:si>
    <x:t xml:space="preserve">receipt</x:t>
  </x:si>
  <x:si>
    <x:t xml:space="preserve">R3A-81E39CBCED53</x:t>
  </x:si>
  <x:si>
    <x:t xml:space="preserve">ok</x:t>
  </x:si>
  <x:si>
    <x:t xml:space="preserve">R3A-D741A2C87671</x:t>
  </x:si>
  <x:si>
    <x:t xml:space="preserve">plan</x:t>
  </x:si>
  <x:si>
    <x:t xml:space="preserve">R3A-AB46E3F8600E</x:t>
  </x:si>
  <x:si>
    <x:t xml:space="preserve">net</x:t>
  </x:si>
  <x:si>
    <x:t xml:space="preserve">R3A-7874572285AD</x:t>
  </x:si>
  <x:si>
    <x:t xml:space="preserve">discount</x:t>
  </x:si>
  <x:si>
    <x:t xml:space="preserve">R3A-825BB747601C</x:t>
  </x:si>
  <x:si>
    <x:t xml:space="preserve">please</x:t>
  </x:si>
  <x:si>
    <x:t xml:space="preserve">R3A-D41A31C71C46</x:t>
  </x:si>
  <x:si>
    <x:t xml:space="preserve">stock</x:t>
  </x:si>
  <x:si>
    <x:t xml:space="preserve">R3A-A547FA55FAA3</x:t>
  </x:si>
  <x:si>
    <x:t xml:space="preserve">kine</x:t>
  </x:si>
  <x:si>
    <x:t xml:space="preserve">R3A-59A86236B8E1</x:t>
  </x:si>
  <x:si>
    <x:t xml:space="preserve">rajeev</x:t>
  </x:si>
  <x:si>
    <x:t xml:space="preserve">R3A-D7ABD644B593</x:t>
  </x:si>
  <x:si>
    <x:t xml:space="preserve">R3A-CBAC4A22C534</x:t>
  </x:si>
  <x:si>
    <x:t xml:space="preserve">In nepali context it refeerse to name of a male, it may mean computer hardware component in english</x:t>
  </x:si>
  <x:si>
    <x:t xml:space="preserve">R3A-BD31D1068C43</x:t>
  </x:si>
  <x:si>
    <x:t xml:space="preserve">pcs</x:t>
  </x:si>
  <x:si>
    <x:t xml:space="preserve">R3A-C79C78C6A996</x:t>
  </x:si>
  <x:si>
    <x:t xml:space="preserve">lai</x:t>
  </x:si>
  <x:si>
    <x:t xml:space="preserve">R3A-F5CF1B72BF07</x:t>
  </x:si>
  <x:si>
    <x:t xml:space="preserve">R3A-0179AF09253F</x:t>
  </x:si>
  <x:si>
    <x:t xml:space="preserve">R3A-35D8AB1646F4</x:t>
  </x:si>
  <x:si>
    <x:t xml:space="preserve">cash</x:t>
  </x:si>
  <x:si>
    <x:t xml:space="preserve">R3A-9F9619436CA3</x:t>
  </x:si>
  <x:si>
    <x:t xml:space="preserve">credit</x:t>
  </x:si>
  <x:si>
    <x:t xml:space="preserve">R3A-6A1AF337B21B</x:t>
  </x:si>
  <x:si>
    <x:t xml:space="preserve">opening</x:t>
  </x:si>
  <x:si>
    <x:t xml:space="preserve">R3A-1788E7D5D0A1</x:t>
  </x:si>
  <x:si>
    <x:t xml:space="preserve">R3A-4F0FB37A553F</x:t>
  </x:si>
  <x:si>
    <x:t xml:space="preserve">rakhnu</x:t>
  </x:si>
  <x:si>
    <x:t xml:space="preserve">R3A-910CA16A8201</x:t>
  </x:si>
  <x:si>
    <x:t xml:space="preserve">R3A-BB51DD6E9ED0</x:t>
  </x:si>
  <x:si>
    <x:t xml:space="preserve">susan</x:t>
  </x:si>
  <x:si>
    <x:t xml:space="preserve">In nepali context it refeerse to name of a Lady or Jeants as well</x:t>
  </x:si>
  <x:si>
    <x:t xml:space="preserve">R3A-DB48C68438C8</x:t>
  </x:si>
  <x:si>
    <x:t xml:space="preserve">shyam</x:t>
  </x:si>
  <x:si>
    <x:t xml:space="preserve">R3A-E466FA9B2BF3</x:t>
  </x:si>
  <x:si>
    <x:t xml:space="preserve">gross</x:t>
  </x:si>
  <x:si>
    <x:t xml:space="preserve">R3A-66F68104288C</x:t>
  </x:si>
  <x:si>
    <x:t xml:space="preserve">R3A-229898769D5B</x:t>
  </x:si>
  <x:si>
    <x:t xml:space="preserve">customer</x:t>
  </x:si>
  <x:si>
    <x:t xml:space="preserve">R3A-710A7D0167DC</x:t>
  </x:si>
  <x:si>
    <x:t xml:space="preserve">dokaan</x:t>
  </x:si>
  <x:si>
    <x:t xml:space="preserve">R3A-1955993A8F69</x:t>
  </x:si>
  <x:si>
    <x:t xml:space="preserve">malai</x:t>
  </x:si>
  <x:si>
    <x:t xml:space="preserve">R3A-81797ACEEE9A</x:t>
  </x:si>
  <x:si>
    <x:t xml:space="preserve">R3A-81D90B95625F</x:t>
  </x:si>
  <x:si>
    <x:t xml:space="preserve">bill</x:t>
  </x:si>
  <x:si>
    <x:t xml:space="preserve">R3A-A22962BC478A</x:t>
  </x:si>
  <x:si>
    <x:t xml:space="preserve">R3A-F4643880A9BC</x:t>
  </x:si>
  <x:si>
    <x:t xml:space="preserve">bank</x:t>
  </x:si>
  <x:si>
    <x:t xml:space="preserve">R3A-DBE3D2111C87</x:t>
  </x:si>
  <x:si>
    <x:t xml:space="preserve">R3A-49A02088DC63</x:t>
  </x:si>
  <x:si>
    <x:t xml:space="preserve">pokhara</x:t>
  </x:si>
  <x:si>
    <x:t xml:space="preserve">it is a place of nepal</x:t>
  </x:si>
  <x:si>
    <x:t xml:space="preserve">R3A-6001D63FAD3E</x:t>
  </x:si>
  <x:si>
    <x:t xml:space="preserve">sita</x:t>
  </x:si>
  <x:si>
    <x:t xml:space="preserve">R3A-309B3CEE3117</x:t>
  </x:si>
  <x:si>
    <x:t xml:space="preserve">I do not know it</x:t>
  </x:si>
  <x:si>
    <x:t xml:space="preserve">R3A-3D44EBBA4A60</x:t>
  </x:si>
  <x:si>
    <x:t xml:space="preserve">tijori</x:t>
  </x:si>
  <x:si>
    <x:t xml:space="preserve">it means vault</x:t>
  </x:si>
  <x:si>
    <x:t xml:space="preserve">R3A-19AF235F1D07</x:t>
  </x:si>
  <x:si>
    <x:t xml:space="preserve">xaina</x:t>
  </x:si>
  <x:si>
    <x:t xml:space="preserve">for example I do not have keys, ma sanga chabi xaina</x:t>
  </x:si>
  <x:si>
    <x:t xml:space="preserve">R3A-48A9DED65168</x:t>
  </x:si>
  <x:si>
    <x:t xml:space="preserve">In nepali context it refeerse to name of a female</x:t>
  </x:si>
  <x:si>
    <x:t xml:space="preserve">R3A-46B32A27444A</x:t>
  </x:si>
  <x:si>
    <x:t xml:space="preserve">profit</x:t>
  </x:si>
  <x:si>
    <x:t xml:space="preserve">R3A-A2E3A7DCE3D0</x:t>
  </x:si>
  <x:si>
    <x:t xml:space="preserve">R3A-DEBF4EE37F6D</x:t>
  </x:si>
  <x:si>
    <x:t xml:space="preserve">today</x:t>
  </x:si>
  <x:si>
    <x:t xml:space="preserve">R3A-46CD1830FE9D</x:t>
  </x:si>
  <x:si>
    <x:t xml:space="preserve">closing</x:t>
  </x:si>
  <x:si>
    <x:t xml:space="preserve">R3A-03590AA81D78</x:t>
  </x:si>
  <x:si>
    <x:t xml:space="preserve">R3A-44D26D6634B0</x:t>
  </x:si>
  <x:si>
    <x:t xml:space="preserve">sales</x:t>
  </x:si>
  <x:si>
    <x:t xml:space="preserve">R3A-E6C27DD9EB4E</x:t>
  </x:si>
  <x:si>
    <x:t xml:space="preserve">krishna</x:t>
  </x:si>
  <x:si>
    <x:t xml:space="preserve">R3A-89B7DB4A1A4A</x:t>
  </x:si>
  <x:si>
    <x:t xml:space="preserve">for</x:t>
  </x:si>
  <x:si>
    <x:t xml:space="preserve">R3A-52168F6474CC</x:t>
  </x:si>
  <x:si>
    <x:t xml:space="preserve">on</x:t>
  </x:si>
  <x:si>
    <x:t xml:space="preserve">R3A-5F4340339B0A</x:t>
  </x:si>
  <x:si>
    <x:t xml:space="preserve">R3A-844DB568325C</x:t>
  </x:si>
  <x:si>
    <x:t xml:space="preserve">paani</x:t>
  </x:si>
  <x:si>
    <x:t xml:space="preserve">it represents water for english language</x:t>
  </x:si>
  <x:si>
    <x:t xml:space="preserve">R3A-61C16981C721</x:t>
  </x:si>
  <x:si>
    <x:t xml:space="preserve">thulo</x:t>
  </x:si>
  <x:si>
    <x:t xml:space="preserve">it represents something big, it means big</x:t>
  </x:si>
  <x:si>
    <x:t xml:space="preserve">R3A-1FCB214AAFF8</x:t>
  </x:si>
  <x:si>
    <x:t xml:space="preserve">was</x:t>
  </x:si>
  <x:si>
    <x:t xml:space="preserve">R3A-9ED02F13AB81</x:t>
  </x:si>
  <x:si>
    <x:t xml:space="preserve">R3A-B21EA865A670</x:t>
  </x:si>
  <x:si>
    <x:t xml:space="preserve">usko</x:t>
  </x:si>
  <x:si>
    <x:t xml:space="preserve">R3A-2777FD563D44</x:t>
  </x:si>
  <x:si>
    <x:t xml:space="preserve">R3A-92AFC696170A</x:t>
  </x:si>
  <x:si>
    <x:t xml:space="preserve">R3A-88C773037682</x:t>
  </x:si>
  <x:si>
    <x:t xml:space="preserve">chaina</x:t>
  </x:si>
  <x:si>
    <x:t xml:space="preserve">PROPER_NAME_OR_ENTITY</x:t>
  </x:si>
  <x:si>
    <x:t xml:space="preserve">it is Name of a country</x:t>
  </x:si>
  <x:si>
    <x:t xml:space="preserve">R3A-02AB46A9C72F</x:t>
  </x:si>
  <x:si>
    <x:t xml:space="preserve">R3A-57E415379DE6</x:t>
  </x:si>
  <x:si>
    <x:t xml:space="preserve">R3A-96D266DDD445</x:t>
  </x:si>
  <x:si>
    <x:t xml:space="preserve">in</x:t>
  </x:si>
  <x:si>
    <x:t xml:space="preserve">R3A-EB0C046F2CA3</x:t>
  </x:si>
  <x:si>
    <x:t xml:space="preserve">R3A-C632964AAC91</x:t>
  </x:si>
  <x:si>
    <x:t xml:space="preserve">john</x:t>
  </x:si>
  <x:si>
    <x:t xml:space="preserve">In foreign country context it refeerse to name of a male</x:t>
  </x:si>
  <x:si>
    <x:t xml:space="preserve">R3A-1B5DC8515B6B</x:t>
  </x:si>
  <x:si>
    <x:t xml:space="preserve">byapar</x:t>
  </x:si>
  <x:si>
    <x:t xml:space="preserve">R3A-3C51844C067F</x:t>
  </x:si>
  <x:si>
    <x:t xml:space="preserve">hajar</x:t>
  </x:si>
  <x:si>
    <x:t xml:space="preserve">R3A-8C4F698FCD49</x:t>
  </x:si>
  <x:si>
    <x:t xml:space="preserve">haru</x:t>
  </x:si>
  <x:si>
    <x:t xml:space="preserve">R3A-AC9E3AA78D9B</x:t>
  </x:si>
  <x:si>
    <x:t xml:space="preserve">nepal</x:t>
  </x:si>
  <x:si>
    <x:t xml:space="preserve">R3A-7F4E9C760597</x:t>
  </x:si>
  <x:si>
    <x:t xml:space="preserve">usle</x:t>
  </x:si>
  <x:si>
    <x:t xml:space="preserve">R3A-A3337AE882EF</x:t>
  </x:si>
  <x:si>
    <x:t xml:space="preserve">bikriyat</x:t>
  </x:si>
  <x:si>
    <x:t xml:space="preserve">R3A-473E29CACC82</x:t>
  </x:si>
  <x:si>
    <x:t xml:space="preserve">R3A-CD170900DCD2</x:t>
  </x:si>
  <x:si>
    <x:t xml:space="preserve">my</x:t>
  </x:si>
  <x:si>
    <x:t xml:space="preserve">R3A-DDB46BE83E59</x:t>
  </x:si>
  <x:si>
    <x:t xml:space="preserve">aaja</x:t>
  </x:si>
  <x:si>
    <x:t xml:space="preserve">R3A-6E81B0F59A7C</x:t>
  </x:si>
  <x:si>
    <x:t xml:space="preserve">rupiya</x:t>
  </x:si>
  <x:si>
    <x:t xml:space="preserve">R3A-E11303FC4AF9</x:t>
  </x:si>
  <x:si>
    <x:t xml:space="preserve">yes</x:t>
  </x:si>
  <x:si>
    <x:t xml:space="preserve">R3A-A86B407317B4</x:t>
  </x:si>
  <x:si>
    <x:t xml:space="preserve">R3A-69A9687F4AF6</x:t>
  </x:si>
  <x:si>
    <x:t xml:space="preserve">jabaj</x:t>
  </x:si>
  <x:si>
    <x:t xml:space="preserve">It means Couragious or Strong personality in nepali</x:t>
  </x:si>
  <x:si>
    <x:t xml:space="preserve">R3A-F1423F7ECCBC</x:t>
  </x:si>
  <x:si>
    <x:t xml:space="preserve">R3A-91DE04624709</x:t>
  </x:si>
  <x:si>
    <x:t xml:space="preserve">you</x:t>
  </x:si>
  <x:si>
    <x:t xml:space="preserve">R3A-ACB9FB792070</x:t>
  </x:si>
  <x:si>
    <x:t xml:space="preserve">R3A-626435F340E3</x:t>
  </x:si>
  <x:si>
    <x:t xml:space="preserve">R3A-85EA52AECC70</x:t>
  </x:si>
  <x:si>
    <x:t xml:space="preserve">R3A-ABF06A06C71E</x:t>
  </x:si>
  <x:si>
    <x:t xml:space="preserve">R3A-FA58072CA297</x:t>
  </x:si>
  <x:si>
    <x:t xml:space="preserve">R3A-1A54988625B4</x:t>
  </x:si>
  <x:si>
    <x:t xml:space="preserve">R3A-FBD090E9B85F</x:t>
  </x:si>
  <x:si>
    <x:t xml:space="preserve">R3A-EAE133036C15</x:t>
  </x:si>
  <x:si>
    <x:t xml:space="preserve">cheque</x:t>
  </x:si>
  <x:si>
    <x:t xml:space="preserve">R3A-9ECEADADD41F</x:t>
  </x:si>
  <x:si>
    <x:t xml:space="preserve">R3A-6B5C3F4B79C1</x:t>
  </x:si>
  <x:si>
    <x:t xml:space="preserve">nau</x:t>
  </x:si>
  <x:si>
    <x:t xml:space="preserve">R3A-A5AB853CA40E</x:t>
  </x:si>
  <x:si>
    <x:t xml:space="preserve">to</x:t>
  </x:si>
  <x:si>
    <x:t xml:space="preserve">R3A-8BA19C672CD8</x:t>
  </x:si>
  <x:si>
    <x:t xml:space="preserve">R3A-3A26ACACC361</x:t>
  </x:si>
  <x:si>
    <x:t xml:space="preserve">were</x:t>
  </x:si>
  <x:si>
    <x:t xml:space="preserve">R3A-D93DC8E227F5</x:t>
  </x:si>
  <x:si>
    <x:t xml:space="preserve">tax</x:t>
  </x:si>
  <x:si>
    <x:t xml:space="preserve">R3A-ECF297173878</x:t>
  </x:si>
  <x:si>
    <x:t xml:space="preserve">R3A-6F62469204B0</x:t>
  </x:si>
  <x:si>
    <x:t xml:space="preserve">saya</x:t>
  </x:si>
  <x:si>
    <x:t xml:space="preserve">R3A-BF4FDB7BF4E3</x:t>
  </x:si>
  <x:si>
    <x:t xml:space="preserve">payment</x:t>
  </x:si>
  <x:si>
    <x:t xml:space="preserve">R3A-AD5C57F911FF</x:t>
  </x:si>
  <x:si>
    <x:t xml:space="preserve">R3A-9FB89CF5EB2E</x:t>
  </x:si>
  <x:si>
    <x:t xml:space="preserve">R3A-5AB19BC3D6C1</x:t>
  </x:si>
  <x:si>
    <x:t xml:space="preserve">tomorrow</x:t>
  </x:si>
  <x:si>
    <x:t xml:space="preserve">R3A-A2958A737E24</x:t>
  </x:si>
  <x:si>
    <x:t xml:space="preserve">Choice Guide</x:t>
  </x:si>
  <x:si>
    <x:t xml:space="preserve">Span class</x:t>
  </x:si>
  <x:si>
    <x:t xml:space="preserve">Typical examples</x:t>
  </x:si>
  <x:si>
    <x:t xml:space="preserve">Ranking guidance</x:t>
  </x:si>
  <x:si>
    <x:t xml:space="preserve">Nepali word written with Latin letters</x:t>
  </x:si>
  <x:si>
    <x:t xml:space="preserve">namaste, dhanyabad, hisab when used as Nepali</x:t>
  </x:si>
  <x:si>
    <x:t xml:space="preserve">Usually Devanagari target required; identity retained</x:t>
  </x:si>
  <x:si>
    <x:t xml:space="preserve">An English word being used as English</x:t>
  </x:si>
  <x:si>
    <x:t xml:space="preserve">purchase, debit, bank</x:t>
  </x:si>
  <x:si>
    <x:t xml:space="preserve">Latin identity normally first</x:t>
  </x:si>
  <x:si>
    <x:t xml:space="preserve">NEPALI_LOANWORD_WRITTEN_IN_LATIN</x:t>
  </x:si>
  <x:si>
    <x:t xml:space="preserve">Borrowed/shared word used as Nepali in context</x:t>
  </x:si>
  <x:si>
    <x:t xml:space="preserve">Context-dependent business terms</x:t>
  </x:si>
  <x:si>
    <x:t xml:space="preserve">Decide from context; target may be optional or required</x:t>
  </x:si>
  <x:si>
    <x:t xml:space="preserve">Person, company, place, brand or entity name</x:t>
  </x:si>
  <x:si>
    <x:t xml:space="preserve">Ram, Susan, Kathmandu Traders</x:t>
  </x:si>
  <x:si>
    <x:t xml:space="preserve">Latin identity preferred; Devanagari optional and review-marked</x:t>
  </x:si>
  <x:si>
    <x:t xml:space="preserve">ACRONYM_OR_IDENTIFIER</x:t>
  </x:si>
  <x:si>
    <x:t xml:space="preserve">Acronym, code or identifier</x:t>
  </x:si>
  <x:si>
    <x:t xml:space="preserve">VAT, PAN, INV-001</x:t>
  </x:si>
  <x:si>
    <x:t xml:space="preserve">Keep Latin; usually no transliteration</x:t>
  </x:si>
  <x:si>
    <x:t xml:space="preserve">AMBIGUOUS_CODE_MIX</x:t>
  </x:si>
  <x:si>
    <x:t xml:space="preserve">Could reasonably be English, Nepali or mixed</x:t>
  </x:si>
  <x:si>
    <x:t xml:space="preserve">Short context-free Latin forms</x:t>
  </x:si>
  <x:si>
    <x:t xml:space="preserve">Use review-required or cannot decide</x:t>
  </x:si>
  <x:si>
    <x:t xml:space="preserve">Not a meaningful or reviewable expression</x:t>
  </x:si>
  <x:si>
    <x:t xml:space="preserve">foobar, qwerty when intentionally meaningless</x:t>
  </x:si>
  <x:si>
    <x:t xml:space="preserve">Do not invent language; choose cannot decide/no transliteration as appropriate</x:t>
  </x:si>
  <x:si>
    <x:t xml:space="preserve">Preferred rank policy</x:t>
  </x:si>
  <x:si>
    <x:t xml:space="preserve">What it means</x:t>
  </x:si>
  <x:si>
    <x:t xml:space="preserve">Retention usually expected</x:t>
  </x:si>
  <x:si>
    <x:t xml:space="preserve">Important note</x:t>
  </x:si>
  <x:si>
    <x:t xml:space="preserve">A valid Devanagari transliteration should rank first</x:t>
  </x:si>
  <x:si>
    <x:t xml:space="preserve">Use only for clear Romanized Nepali</x:t>
  </x:si>
  <x:si>
    <x:t xml:space="preserve">Original Latin should rank first</x:t>
  </x:si>
  <x:si>
    <x:t xml:space="preserve">OPTIONAL or PROHIBITED</x:t>
  </x:si>
  <x:si>
    <x:t xml:space="preserve">Use for clear English/Latin-first policy</x:t>
  </x:si>
  <x:si>
    <x:t xml:space="preserve">LATIN_IDENTITY_PREFERRED_TARGET_OPTIONAL</x:t>
  </x:si>
  <x:si>
    <x:t xml:space="preserve">Latin first; Devanagari may remain as an alternative</x:t>
  </x:si>
  <x:si>
    <x:t xml:space="preserve">Recommended for many names/entities</x:t>
  </x:si>
  <x:si>
    <x:t xml:space="preserve">Neither form should be treated as authoritative without review</x:t>
  </x:si>
  <x:si>
    <x:t xml:space="preserve">REQUIRED or OPTIONAL</x:t>
  </x:si>
  <x:si>
    <x:t xml:space="preserve">Use for genuine ambiguity</x:t>
  </x:si>
  <x:si>
    <x:t xml:space="preserve">NO_TRANSLITERATION_ALLOWED</x:t>
  </x:si>
  <x:si>
    <x:t xml:space="preserve">Do not produce/retain a Devanagari candidate</x:t>
  </x:si>
  <x:si>
    <x:t xml:space="preserve">PROHIBITED</x:t>
  </x:si>
  <x:si>
    <x:t xml:space="preserve">Use for identifiers and protected forms</x:t>
  </x:si>
  <x:si>
    <x:t xml:space="preserve">Evidence is insufficient for a safe policy decision</x:t>
  </x:si>
  <x:si>
    <x:t xml:space="preserve">Better than guessing</x:t>
  </x:si>
  <x:si>
    <x:t xml:space="preserve">Devanagari retention</x:t>
  </x:si>
  <x:si>
    <x:t xml:space="preserve">Reasoning expectation</x:t>
  </x:si>
  <x:si>
    <x:t xml:space="preserve">A Devanagari candidate must be retained</x:t>
  </x:si>
  <x:si>
    <x:t xml:space="preserve">Clear contextual/language evidence</x:t>
  </x:si>
  <x:si>
    <x:t xml:space="preserve">Candidate may be retained but must not be forced</x:t>
  </x:si>
  <x:si>
    <x:t xml:space="preserve">Explain the ambiguity or product preference</x:t>
  </x:si>
  <x:si>
    <x:t xml:space="preserve">No Devanagari candidate should be retained</x:t>
  </x:si>
  <x:si>
    <x:t xml:space="preserve">Explain identifier/English/protected reason</x:t>
  </x:si>
  <x:si>
    <x:t xml:space="preserve">Reviewer cannot safely determine retention</x:t>
  </x:si>
  <x:si>
    <x:t xml:space="preserve">LOW</x:t>
  </x:si>
  <x:si>
    <x:t xml:space="preserve">Explain what context is missing</x:t>
  </x:si>
  <x:si>
    <x:t xml:space="preserve">Reviewer Declaration</x:t>
  </x:si>
  <x:si>
    <x:t xml:space="preserve">Field</x:t>
  </x:si>
  <x:si>
    <x:t xml:space="preserve">Human response</x:t>
  </x:si>
  <x:si>
    <x:t xml:space="preserve">Reviewer name</x:t>
  </x:si>
  <x:si>
    <x:t xml:space="preserve">Review date (YYYY-MM-DD)</x:t>
  </x:si>
  <x:si>
    <x:t xml:space="preserve">Product-owner review</x:t>
  </x:si>
  <x:si>
    <x:t xml:space="preserve">Nepali-fluent review</x:t>
  </x:si>
  <x:si>
    <x:t xml:space="preserve">Professional linguist</x:t>
  </x:si>
  <x:si>
    <x:t xml:space="preserve">Provisional policy decision</x:t>
  </x:si>
  <x:si>
    <x:t xml:space="preserve">I did not use AI autofill</x:t>
  </x:si>
  <x:si>
    <x:t xml:space="preserve">Round A complete declaration</x:t>
  </x:si>
  <x:si>
    <x:t xml:space="preserve">Approval semantics</x:t>
  </x:si>
  <x:si>
    <x:t xml:space="preserve">PRODUCT_POLICY_REVIEWED may be true when the product owner completes and approves the ranking policy.</x:t>
  </x:si>
  <x:si>
    <x:t xml:space="preserve">NEPALI_FLUENT_REVIEWED may be true only when the reviewer is comfortable judging Nepali usage.</x:t>
  </x:si>
  <x:si>
    <x:t xml:space="preserve">LINGUIST_APPROVED remains false unless a genuine professional linguist independently approves the work.</x:t>
  </x:si>
  <x:si>
    <x:t xml:space="preserve">The workbook does not itself lock Round A; return it for validation and controlled CSV export.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</x:si>
</x:sst>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13">
    <x:font>
      <x:sz val="11"/>
      <x:name val="Carlito"/>
    </x:font>
    <x:font>
      <x:b/>
      <x:sz val="18"/>
      <x:color rgb="FFFFFFFF"/>
      <x:name val="Aptos"/>
    </x:font>
    <x:font>
      <x:b/>
      <x:sz val="11"/>
      <x:color rgb="FF7A4E00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6324F"/>
      <x:name val="Aptos"/>
    </x:font>
    <x:font>
      <x:b/>
      <x:sz val="11"/>
      <x:color rgb="FF0F766E"/>
      <x:name val="Aptos"/>
    </x:font>
    <x:font>
      <x:b/>
      <x:sz val="11"/>
      <x:color rgb="FF8A1C1C"/>
      <x:name val="Aptos"/>
    </x:font>
    <x:font>
      <x:sz val="11"/>
      <x:color rgb="FF39434D"/>
      <x:name val="Aptos"/>
    </x:font>
    <x:font>
      <x:b/>
      <x:sz val="11"/>
      <x:name val="Aptos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D6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E6F4F1"/>
      </x:patternFill>
    </x:fill>
    <x:fill>
      <x:patternFill patternType="solid">
        <x:fgColor rgb="FFFDECEC"/>
      </x:patternFill>
    </x:fill>
    <x:fill>
      <x:patternFill patternType="solid">
        <x:fgColor rgb="FFF3F5F7"/>
      </x:patternFill>
    </x:fill>
    <x:fill>
      <x:patternFill patternType="solid">
        <x:fgColor rgb="FF0F766E"/>
      </x:patternFill>
    </x:fill>
    <x:fill>
      <x:patternFill patternType="solid">
        <x:fgColor rgb="FF16324F"/>
      </x:patternFill>
    </x:fill>
    <x:fill>
      <x:patternFill patternType="solid">
        <x:fgColor rgb="FFF3F5F7"/>
      </x:patternFill>
    </x:fill>
    <x:fill>
      <x:patternFill patternType="solid">
        <x:fgColor rgb="FFFFF7D6"/>
      </x:patternFill>
    </x:fill>
  </x:fills>
  <x:borders count="10">
    <x:border/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  <x:border>
      <x:left style="thin">
        <x:color rgb="FFD7DEE5"/>
      </x:left>
      <x:top style="thin">
        <x:color rgb="FFD7DEE5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3" fillId="0" borderId="0" xfId="0" applyFont="1"/>
    <x:xf numFmtId="0" fontId="4" fillId="4" borderId="0" xfId="0" applyFont="1" applyFill="1"/>
    <x:xf numFmtId="0" fontId="5" fillId="0" borderId="1" xfId="0" applyFont="1" applyBorder="1" applyAlignment="1">
      <x:alignment vertical="center"/>
    </x:xf>
    <x:xf numFmtId="0" fontId="5" fillId="5" borderId="2" xfId="0" applyFont="1" applyFill="1" applyBorder="1" applyAlignment="1">
      <x:alignment horizontal="center" vertical="center"/>
    </x:xf>
    <x:xf numFmtId="0" fontId="3" fillId="0" borderId="2" xfId="0" applyFont="1" applyBorder="1" applyAlignment="1">
      <x:alignment vertical="center" wrapText="1"/>
    </x:xf>
    <x:xf numFmtId="0" fontId="3" fillId="0" borderId="3" xfId="0" applyFont="1" applyBorder="1" applyAlignment="1">
      <x:alignment vertical="center" wrapText="1"/>
    </x:xf>
    <x:xf numFmtId="0" fontId="5" fillId="0" borderId="4" xfId="0" applyFont="1" applyBorder="1" applyAlignment="1">
      <x:alignment vertical="center"/>
    </x:xf>
    <x:xf numFmtId="0" fontId="5" fillId="5" borderId="5" xfId="0" applyFont="1" applyFill="1" applyBorder="1" applyAlignment="1">
      <x:alignment horizontal="center" vertical="center"/>
    </x:xf>
    <x:xf numFmtId="0" fontId="3" fillId="0" borderId="5" xfId="0" applyFont="1" applyBorder="1" applyAlignment="1">
      <x:alignment vertical="center" wrapText="1"/>
    </x:xf>
    <x:xf numFmtId="0" fontId="3" fillId="0" borderId="6" xfId="0" applyFont="1" applyBorder="1" applyAlignment="1">
      <x:alignment vertical="center" wrapText="1"/>
    </x:xf>
    <x:xf numFmtId="0" fontId="5" fillId="0" borderId="7" xfId="0" applyFont="1" applyBorder="1" applyAlignment="1">
      <x:alignment vertical="center"/>
    </x:xf>
    <x:xf numFmtId="164" fontId="5" fillId="5" borderId="8" xfId="0" applyNumberFormat="1" applyFont="1" applyFill="1" applyBorder="1" applyAlignment="1">
      <x:alignment horizontal="center" vertical="center"/>
    </x:xf>
    <x:xf numFmtId="0" fontId="3" fillId="0" borderId="8" xfId="0" applyFont="1" applyBorder="1" applyAlignment="1">
      <x:alignment vertical="center" wrapText="1"/>
    </x:xf>
    <x:xf numFmtId="0" fontId="3" fillId="0" borderId="9" xfId="0" applyFont="1" applyBorder="1" applyAlignment="1">
      <x:alignment vertical="center" wrapText="1"/>
    </x:xf>
    <x:xf numFmtId="0" fontId="5" fillId="8" borderId="1" xfId="0" applyFont="1" applyFill="1" applyBorder="1"/>
    <x:xf numFmtId="0" fontId="3" fillId="3" borderId="3" xfId="0" applyFont="1" applyFill="1" applyBorder="1" applyAlignment="1">
      <x:alignment wrapText="1"/>
    </x:xf>
    <x:xf numFmtId="0" fontId="5" fillId="8" borderId="4" xfId="0" applyFont="1" applyFill="1" applyBorder="1"/>
    <x:xf numFmtId="0" fontId="3" fillId="3" borderId="6" xfId="0" applyFont="1" applyFill="1" applyBorder="1" applyAlignment="1">
      <x:alignment wrapText="1"/>
    </x:xf>
    <x:xf numFmtId="0" fontId="5" fillId="8" borderId="7" xfId="0" applyFont="1" applyFill="1" applyBorder="1"/>
    <x:xf numFmtId="0" fontId="3" fillId="3" borderId="9" xfId="0" applyFont="1" applyFill="1" applyBorder="1" applyAlignment="1">
      <x:alignment wrapText="1"/>
    </x:xf>
    <x:xf numFmtId="0" fontId="4" fillId="4" borderId="0" xfId="0" applyFont="1" applyFill="1" applyAlignment="1">
      <x:alignment vertical="center" wrapText="1"/>
    </x:xf>
    <x:xf numFmtId="0" fontId="8" fillId="8" borderId="1" xfId="0" applyFont="1" applyFill="1" applyBorder="1" applyAlignment="1">
      <x:alignment horizontal="center" vertical="center"/>
    </x:xf>
    <x:xf numFmtId="0" fontId="8" fillId="8" borderId="2" xfId="0" applyFont="1" applyFill="1" applyBorder="1" applyAlignment="1">
      <x:alignment horizontal="center" vertical="center"/>
    </x:xf>
    <x:xf numFmtId="0" fontId="8" fillId="8" borderId="2" xfId="0" applyFont="1" applyFill="1" applyBorder="1" applyAlignment="1">
      <x:alignment vertical="center" wrapText="1"/>
    </x:xf>
    <x:xf numFmtId="0" fontId="3" fillId="3" borderId="2" xfId="0" applyFont="1" applyFill="1" applyBorder="1" applyAlignment="1">
      <x:alignment vertical="center" wrapText="1"/>
    </x:xf>
    <x:xf numFmtId="0" fontId="9" fillId="5" borderId="2" xfId="0" applyFont="1" applyFill="1" applyBorder="1" applyAlignment="1">
      <x:alignment horizontal="center" vertical="center"/>
    </x:xf>
    <x:xf numFmtId="0" fontId="9" fillId="5" borderId="3" xfId="0" applyFont="1" applyFill="1" applyBorder="1" applyAlignment="1">
      <x:alignment horizontal="center" vertical="center"/>
    </x:xf>
    <x:xf numFmtId="0" fontId="8" fillId="8" borderId="4" xfId="0" applyFont="1" applyFill="1" applyBorder="1" applyAlignment="1">
      <x:alignment horizontal="center" vertical="center"/>
    </x:xf>
    <x:xf numFmtId="0" fontId="8" fillId="8" borderId="5" xfId="0" applyFont="1" applyFill="1" applyBorder="1" applyAlignment="1">
      <x:alignment horizontal="center" vertical="center"/>
    </x:xf>
    <x:xf numFmtId="0" fontId="8" fillId="8" borderId="5" xfId="0" applyFont="1" applyFill="1" applyBorder="1" applyAlignment="1">
      <x:alignment vertical="center" wrapText="1"/>
    </x:xf>
    <x:xf numFmtId="0" fontId="3" fillId="3" borderId="5" xfId="0" applyFont="1" applyFill="1" applyBorder="1" applyAlignment="1">
      <x:alignment vertical="center" wrapText="1"/>
    </x:xf>
    <x:xf numFmtId="0" fontId="9" fillId="5" borderId="5" xfId="0" applyFont="1" applyFill="1" applyBorder="1" applyAlignment="1">
      <x:alignment horizontal="center" vertical="center"/>
    </x:xf>
    <x:xf numFmtId="0" fontId="9" fillId="5" borderId="6" xfId="0" applyFont="1" applyFill="1" applyBorder="1" applyAlignment="1">
      <x:alignment horizontal="center" vertical="center"/>
    </x:xf>
    <x:xf numFmtId="0" fontId="8" fillId="8" borderId="7" xfId="0" applyFont="1" applyFill="1" applyBorder="1" applyAlignment="1">
      <x:alignment horizontal="center" vertical="center"/>
    </x:xf>
    <x:xf numFmtId="0" fontId="8" fillId="8" borderId="8" xfId="0" applyFont="1" applyFill="1" applyBorder="1" applyAlignment="1">
      <x:alignment horizontal="center" vertical="center"/>
    </x:xf>
    <x:xf numFmtId="0" fontId="8" fillId="8" borderId="8" xfId="0" applyFont="1" applyFill="1" applyBorder="1" applyAlignment="1">
      <x:alignment vertical="center" wrapText="1"/>
    </x:xf>
    <x:xf numFmtId="0" fontId="9" fillId="5" borderId="8" xfId="0" applyFont="1" applyFill="1" applyBorder="1" applyAlignment="1">
      <x:alignment horizontal="center" vertical="center"/>
    </x:xf>
    <x:xf numFmtId="0" fontId="9" fillId="5" borderId="9" xfId="0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vertical="top" wrapText="1"/>
    </x:xf>
    <x:xf numFmtId="0" fontId="4" fillId="4" borderId="2" xfId="0" applyFont="1" applyFill="1" applyBorder="1" applyAlignment="1">
      <x:alignment vertical="top" wrapText="1"/>
    </x:xf>
    <x:xf numFmtId="0" fontId="4" fillId="4" borderId="3" xfId="0" applyFont="1" applyFill="1" applyBorder="1" applyAlignment="1">
      <x:alignment vertical="top" wrapText="1"/>
    </x:xf>
    <x:xf numFmtId="0" fontId="5" fillId="0" borderId="4" xfId="0" applyFont="1" applyBorder="1" applyAlignment="1">
      <x:alignment vertical="top" wrapText="1"/>
    </x:xf>
    <x:xf numFmtId="0" fontId="3" fillId="0" borderId="5" xfId="0" applyFont="1" applyBorder="1" applyAlignment="1">
      <x:alignment vertical="top" wrapText="1"/>
    </x:xf>
    <x:xf numFmtId="0" fontId="3" fillId="0" borderId="6" xfId="0" applyFont="1" applyBorder="1" applyAlignment="1">
      <x:alignment vertical="top" wrapText="1"/>
    </x:xf>
    <x:xf numFmtId="0" fontId="5" fillId="4" borderId="4" xfId="0" applyFont="1" applyFill="1" applyBorder="1" applyAlignment="1">
      <x:alignment vertical="top" wrapText="1"/>
    </x:xf>
    <x:xf numFmtId="0" fontId="4" fillId="4" borderId="5" xfId="0" applyFont="1" applyFill="1" applyBorder="1" applyAlignment="1">
      <x:alignment vertical="top" wrapText="1"/>
    </x:xf>
    <x:xf numFmtId="0" fontId="4" fillId="4" borderId="6" xfId="0" applyFont="1" applyFill="1" applyBorder="1" applyAlignment="1">
      <x:alignment vertical="top" wrapText="1"/>
    </x:xf>
    <x:xf numFmtId="0" fontId="5" fillId="0" borderId="7" xfId="0" applyFont="1" applyBorder="1" applyAlignment="1">
      <x:alignment vertical="top" wrapText="1"/>
    </x:xf>
    <x:xf numFmtId="0" fontId="3" fillId="0" borderId="8" xfId="0" applyFont="1" applyBorder="1" applyAlignment="1">
      <x:alignment vertical="top" wrapText="1"/>
    </x:xf>
    <x:xf numFmtId="0" fontId="3" fillId="0" borderId="9" xfId="0" applyFont="1" applyBorder="1" applyAlignment="1">
      <x:alignment vertical="top"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0" fontId="6" fillId="6" borderId="0" xfId="0" applyFont="1" applyFill="1"/>
    <x:xf numFmtId="0" fontId="3" fillId="0" borderId="0" xfId="0" applyFont="1" applyAlignment="1">
      <x:alignment vertical="center" wrapText="1"/>
    </x:xf>
    <x:xf numFmtId="0" fontId="4" fillId="4" borderId="0" xfId="0" applyFont="1" applyFill="1"/>
    <x:xf numFmtId="0" fontId="7" fillId="7" borderId="0" xfId="0" applyFont="1" applyFill="1" applyAlignment="1">
      <x:alignment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10" fillId="9" borderId="1" xfId="0" applyNumberFormat="1" applyFont="1" applyFill="1" applyBorder="1"/>
    <x:xf numFmtId="0" fontId="10" fillId="9" borderId="3" xfId="0" applyNumberFormat="1" applyFont="1" applyFill="1" applyBorder="1"/>
    <x:xf numFmtId="0" fontId="12" fillId="11" borderId="4" xfId="0" applyNumberFormat="1" applyFont="1" applyFill="1" applyBorder="1"/>
    <x:xf numFmtId="0" fontId="0" fillId="12" borderId="6" xfId="0" applyNumberFormat="1" applyFont="1" applyFill="1" applyBorder="1" applyAlignment="1">
      <x:alignment wrapText="1"/>
    </x:xf>
    <x:xf numFmtId="0" fontId="12" fillId="11" borderId="7" xfId="0" applyNumberFormat="1" applyFont="1" applyFill="1" applyBorder="1"/>
    <x:xf numFmtId="0" fontId="0" fillId="12" borderId="9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76B36"/>
      </x:font>
      <x:fill>
        <x:patternFill>
          <x:bgColor rgb="FFEAF7ED"/>
        </x:patternFill>
      </x:fill>
    </x:dxf>
    <x:dxf>
      <x:font>
        <x:b/>
        <x:color rgb="FF8A1C1C"/>
      </x:font>
      <x:fill>
        <x:patternFill>
          <x:bgColor rgb="FFFDECEC"/>
        </x:patternFill>
      </x:fill>
    </x:dxf>
    <x:dxf>
      <x:font>
        <x:b/>
        <x:color rgb="FF7A4E00"/>
      </x:font>
      <x:fill>
        <x:patternFill>
          <x:bgColor rgb="FFFFF7D6"/>
        </x:patternFill>
      </x:fill>
    </x:dxf>
    <x:dxf>
      <x:font>
        <x:b/>
        <x:color rgb="FF176B36"/>
      </x:font>
      <x:fill>
        <x:patternFill>
          <x:bgColor rgb="FFEA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25774e6d64e6a" /><Relationship Type="http://schemas.openxmlformats.org/officeDocument/2006/relationships/theme" Target="/xl/theme/theme1.xml" Id="Raa1202bfb1c84b83" /><Relationship Type="http://schemas.openxmlformats.org/officeDocument/2006/relationships/sharedStrings" Target="/xl/sharedStrings.xml" Id="R443cb499fe634b98" /><Relationship Type="http://schemas.openxmlformats.org/officeDocument/2006/relationships/worksheet" Target="/xl/worksheets/sheet1.xml" Id="R35da53040f1f4dc2" /><Relationship Type="http://schemas.openxmlformats.org/officeDocument/2006/relationships/worksheet" Target="/xl/worksheets/sheet2.xml" Id="R12efc5832c814e8f" /><Relationship Type="http://schemas.openxmlformats.org/officeDocument/2006/relationships/worksheet" Target="/xl/worksheets/sheet3.xml" Id="R0000d45429e34153" /><Relationship Type="http://schemas.openxmlformats.org/officeDocument/2006/relationships/worksheet" Target="/xl/worksheets/sheet4.xml" Id="R35e75faef5e54190" /><Relationship Type="http://schemas.openxmlformats.org/officeDocument/2006/relationships/worksheet" Target="/xl/worksheets/sheet5.xml" Id="Ra4e9d6128d654086" /><Relationship Type="http://schemas.openxmlformats.org/officeDocument/2006/relationships/worksheet" Target="/xl/worksheets/sheet6.xml" Id="Rab62901235f3424f" /></Relationships>
</file>

<file path=xl/tables/table1.xml><?xml version="1.0" encoding="utf-8"?>
<x:table xmlns:x="http://schemas.openxmlformats.org/spreadsheetml/2006/main" id="1" name="RoundAReviewTable" displayName="RoundAReviewTable" ref="A4:K153" totalsRowShown="0">
  <x:autoFilter ref="A4:K153"/>
  <x:tableColumns count="11">
    <x:tableColumn id="1" name="Case #"/>
    <x:tableColumn id="2" name="Review ID"/>
    <x:tableColumn id="3" name="Input Text"/>
    <x:tableColumn id="4" name="Highlighted Span"/>
    <x:tableColumn id="5" name="Span Class"/>
    <x:tableColumn id="6" name="Preferred Rank Policy"/>
    <x:tableColumn id="7" name="Devanagari Retention"/>
    <x:tableColumn id="8" name="Confidence"/>
    <x:tableColumn id="9" name="Human Reasoning"/>
    <x:tableColumn id="10" name="Completion"/>
    <x:tableColumn id="11" name="Consist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50b8d8b4ac42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2" customWidth="1"/>
    <x:col min="2" max="2" width="14" customWidth="1"/>
    <x:col min="3" max="3" width="36" customWidth="1"/>
    <x:col min="4" max="4" width="42" customWidth="1"/>
    <x:col min="5" max="8" width="14" customWidth="1"/>
  </x:cols>
  <x:sheetData>
    <x:row r="1" ht="28" customHeight="1">
      <x:c r="A1" s="51" t="s">
        <x:v>0</x:v>
      </x:c>
      <x:c r="B1" s="51" t="s">
        <x:v>0</x:v>
      </x:c>
      <x:c r="C1" s="51" t="s">
        <x:v>0</x:v>
      </x:c>
      <x:c r="D1" s="51" t="s">
        <x:v>0</x:v>
      </x:c>
      <x:c r="E1" s="51" t="s">
        <x:v>0</x:v>
      </x:c>
      <x:c r="F1" s="51" t="s">
        <x:v>0</x:v>
      </x:c>
      <x:c r="G1" s="51" t="s">
        <x:v>0</x:v>
      </x:c>
      <x:c r="H1" s="51" t="s">
        <x:v>0</x:v>
      </x:c>
    </x:row>
    <x:row r="2" ht="28" customHeight="1">
      <x:c r="A2" s="51" t="s">
        <x:v>0</x:v>
      </x:c>
      <x:c r="B2" s="51" t="s">
        <x:v>0</x:v>
      </x:c>
      <x:c r="C2" s="51" t="s">
        <x:v>0</x:v>
      </x:c>
      <x:c r="D2" s="51" t="s">
        <x:v>0</x:v>
      </x:c>
      <x:c r="E2" s="51" t="s">
        <x:v>0</x:v>
      </x:c>
      <x:c r="F2" s="51" t="s">
        <x:v>0</x:v>
      </x:c>
      <x:c r="G2" s="51" t="s">
        <x:v>0</x:v>
      </x:c>
      <x:c r="H2" s="51" t="s">
        <x:v>0</x:v>
      </x:c>
    </x:row>
    <x:row r="3" ht="28" customHeight="1">
      <x:c r="A3" s="52" t="s">
        <x:v>1</x:v>
      </x:c>
      <x:c r="B3" s="52" t="s">
        <x:v>1</x:v>
      </x:c>
      <x:c r="C3" s="52" t="s">
        <x:v>1</x:v>
      </x:c>
      <x:c r="D3" s="52" t="s">
        <x:v>1</x:v>
      </x:c>
      <x:c r="E3" s="52" t="s">
        <x:v>1</x:v>
      </x:c>
      <x:c r="F3" s="52" t="s">
        <x:v>1</x:v>
      </x:c>
      <x:c r="G3" s="52" t="s">
        <x:v>1</x:v>
      </x:c>
      <x:c r="H3" s="52" t="s">
        <x:v>1</x:v>
      </x:c>
    </x:row>
    <x:row r="4" ht="14.75">
      <x:c r="A4" s="1"/>
      <x:c r="B4" s="1"/>
      <x:c r="C4" s="1"/>
      <x:c r="D4" s="1"/>
      <x:c r="E4" s="1"/>
      <x:c r="F4" s="1"/>
      <x:c r="G4" s="1"/>
      <x:c r="H4" s="1"/>
    </x:row>
    <x:row r="5" ht="14.75">
      <x:c r="A5" s="2" t="s">
        <x:v>2</x:v>
      </x:c>
      <x:c r="B5" s="2" t="s">
        <x:v>3</x:v>
      </x:c>
      <x:c r="C5" s="2" t="s">
        <x:v>4</x:v>
      </x:c>
      <x:c r="D5" s="2" t="s">
        <x:v>5</x:v>
      </x:c>
      <x:c r="E5" s="1"/>
      <x:c r="F5" s="1"/>
      <x:c r="G5" s="1"/>
      <x:c r="H5" s="1"/>
    </x:row>
    <x:row r="6" ht="14.75">
      <x:c r="A6" s="3" t="s">
        <x:v>6</x:v>
      </x:c>
      <x:c r="B6" s="4" t="n">
        <x:f>COUNTA('Round A Review'!$B$5:$B$153)</x:f>
        <x:v>149</x:v>
      </x:c>
      <x:c r="C6" s="5" t="s">
        <x:v>7</x:v>
      </x:c>
      <x:c r="D6" s="6" t="s">
        <x:v>8</x:v>
      </x:c>
      <x:c r="E6" s="1"/>
      <x:c r="F6" s="1"/>
      <x:c r="G6" s="1"/>
      <x:c r="H6" s="1"/>
    </x:row>
    <x:row r="7" ht="14.75">
      <x:c r="A7" s="7" t="s">
        <x:v>9</x:v>
      </x:c>
      <x:c r="B7" s="8" t="n">
        <x:f>COUNTIF('Round A Review'!$J$5:$J$153,"COMPLETE")</x:f>
        <x:v>149</x:v>
      </x:c>
      <x:c r="C7" s="9" t="s">
        <x:v>10</x:v>
      </x:c>
      <x:c r="D7" s="10" t="s">
        <x:v>11</x:v>
      </x:c>
      <x:c r="E7" s="1"/>
      <x:c r="F7" s="1"/>
      <x:c r="G7" s="1"/>
      <x:c r="H7" s="1"/>
    </x:row>
    <x:row r="8" ht="14.75">
      <x:c r="A8" s="7" t="s">
        <x:v>12</x:v>
      </x:c>
      <x:c r="B8" s="8" t="n">
        <x:f>COUNTIF('Round A Review'!$J$5:$J$153,"PENDING")</x:f>
        <x:v>0</x:v>
      </x:c>
      <x:c r="C8" s="9" t="s">
        <x:v>13</x:v>
      </x:c>
      <x:c r="D8" s="10" t="s">
        <x:v>14</x:v>
      </x:c>
      <x:c r="E8" s="1"/>
      <x:c r="F8" s="1"/>
      <x:c r="G8" s="1"/>
      <x:c r="H8" s="1"/>
    </x:row>
    <x:row r="9" ht="14.75">
      <x:c r="A9" s="7" t="s">
        <x:v>15</x:v>
      </x:c>
      <x:c r="B9" s="8" t="n">
        <x:f>COUNTIF('Round A Review'!$K$5:$K$153,"CHECK")</x:f>
        <x:v>0</x:v>
      </x:c>
      <x:c r="C9" s="9" t="s">
        <x:v>16</x:v>
      </x:c>
      <x:c r="D9" s="10" t="s">
        <x:v>17</x:v>
      </x:c>
      <x:c r="E9" s="1"/>
      <x:c r="F9" s="1"/>
      <x:c r="G9" s="1"/>
      <x:c r="H9" s="1"/>
    </x:row>
    <x:row r="10" ht="14.75">
      <x:c r="A10" s="11" t="s">
        <x:v>18</x:v>
      </x:c>
      <x:c r="B10" s="12" t="n">
        <x:f>IF(B6=0,0,B7/B6)</x:f>
        <x:v>1</x:v>
      </x:c>
      <x:c r="C10" s="13" t="s">
        <x:v>19</x:v>
      </x:c>
      <x:c r="D10" s="14" t="s">
        <x:v>20</x:v>
      </x:c>
      <x:c r="E10" s="1"/>
      <x:c r="F10" s="1"/>
      <x:c r="G10" s="1"/>
      <x:c r="H10" s="1"/>
    </x:row>
    <x:row r="11" ht="14.75">
      <x:c r="A11" s="1"/>
      <x:c r="B11" s="1"/>
      <x:c r="C11" s="1"/>
      <x:c r="D11" s="1"/>
      <x:c r="E11" s="1"/>
      <x:c r="F11" s="1"/>
      <x:c r="G11" s="1"/>
      <x:c r="H11" s="1"/>
    </x:row>
    <x:row r="12" ht="14.75">
      <x:c r="A12" s="53" t="s">
        <x:v>21</x:v>
      </x:c>
      <x:c r="B12" s="53" t="s">
        <x:v>21</x:v>
      </x:c>
      <x:c r="C12" s="53" t="s">
        <x:v>21</x:v>
      </x:c>
      <x:c r="D12" s="53" t="s">
        <x:v>21</x:v>
      </x:c>
      <x:c r="E12" s="53" t="s">
        <x:v>21</x:v>
      </x:c>
      <x:c r="F12" s="53" t="s">
        <x:v>21</x:v>
      </x:c>
      <x:c r="G12" s="53" t="s">
        <x:v>21</x:v>
      </x:c>
      <x:c r="H12" s="53" t="s">
        <x:v>21</x:v>
      </x:c>
    </x:row>
    <x:row r="13" ht="27" customHeight="1">
      <x:c r="A13" s="54" t="s">
        <x:v>22</x:v>
      </x:c>
      <x:c r="B13" s="54"/>
      <x:c r="C13" s="54"/>
      <x:c r="D13" s="54"/>
      <x:c r="E13" s="54"/>
      <x:c r="F13" s="54"/>
      <x:c r="G13" s="54"/>
      <x:c r="H13" s="54"/>
    </x:row>
    <x:row r="14" ht="27" customHeight="1">
      <x:c r="A14" s="54" t="s">
        <x:v>23</x:v>
      </x:c>
      <x:c r="B14" s="54"/>
      <x:c r="C14" s="54"/>
      <x:c r="D14" s="54"/>
      <x:c r="E14" s="54"/>
      <x:c r="F14" s="54"/>
      <x:c r="G14" s="54"/>
      <x:c r="H14" s="54"/>
    </x:row>
    <x:row r="15" ht="27" customHeight="1">
      <x:c r="A15" s="54" t="s">
        <x:v>24</x:v>
      </x:c>
      <x:c r="B15" s="54"/>
      <x:c r="C15" s="54"/>
      <x:c r="D15" s="54"/>
      <x:c r="E15" s="54"/>
      <x:c r="F15" s="54"/>
      <x:c r="G15" s="54"/>
      <x:c r="H15" s="54"/>
    </x:row>
    <x:row r="16" ht="27" customHeight="1">
      <x:c r="A16" s="54" t="s">
        <x:v>25</x:v>
      </x:c>
      <x:c r="B16" s="54"/>
      <x:c r="C16" s="54"/>
      <x:c r="D16" s="54"/>
      <x:c r="E16" s="54"/>
      <x:c r="F16" s="54"/>
      <x:c r="G16" s="54"/>
      <x:c r="H16" s="54"/>
    </x:row>
    <x:row r="17" ht="27" customHeight="1">
      <x:c r="A17" s="54" t="s">
        <x:v>26</x:v>
      </x:c>
      <x:c r="B17" s="54"/>
      <x:c r="C17" s="54"/>
      <x:c r="D17" s="54"/>
      <x:c r="E17" s="54"/>
      <x:c r="F17" s="54"/>
      <x:c r="G17" s="54"/>
      <x:c r="H17" s="54"/>
    </x:row>
    <x:row r="18" ht="27" customHeight="1">
      <x:c r="A18" s="54" t="s">
        <x:v>27</x:v>
      </x:c>
      <x:c r="B18" s="54"/>
      <x:c r="C18" s="54"/>
      <x:c r="D18" s="54"/>
      <x:c r="E18" s="54"/>
      <x:c r="F18" s="54"/>
      <x:c r="G18" s="54"/>
      <x:c r="H18" s="54"/>
    </x:row>
    <x:row r="19" ht="14.75">
      <x:c r="A19" s="1"/>
      <x:c r="B19" s="1"/>
      <x:c r="C19" s="1"/>
      <x:c r="D19" s="1"/>
      <x:c r="E19" s="1"/>
      <x:c r="F19" s="1"/>
      <x:c r="G19" s="1"/>
      <x:c r="H19" s="1"/>
    </x:row>
    <x:row r="20" ht="14.75">
      <x:c r="A20" s="55" t="s">
        <x:v>28</x:v>
      </x:c>
      <x:c r="B20" s="55" t="s">
        <x:v>28</x:v>
      </x:c>
      <x:c r="C20" s="55" t="s">
        <x:v>28</x:v>
      </x:c>
      <x:c r="D20" s="55" t="s">
        <x:v>28</x:v>
      </x:c>
      <x:c r="E20" s="55" t="s">
        <x:v>28</x:v>
      </x:c>
      <x:c r="F20" s="55" t="s">
        <x:v>28</x:v>
      </x:c>
      <x:c r="G20" s="55" t="s">
        <x:v>28</x:v>
      </x:c>
      <x:c r="H20" s="55" t="s">
        <x:v>28</x:v>
      </x:c>
    </x:row>
    <x:row r="21" ht="27" customHeight="1">
      <x:c r="A21" s="54" t="s">
        <x:v>29</x:v>
      </x:c>
      <x:c r="B21" s="54"/>
      <x:c r="C21" s="54"/>
      <x:c r="D21" s="54"/>
      <x:c r="E21" s="54"/>
      <x:c r="F21" s="54"/>
      <x:c r="G21" s="54"/>
      <x:c r="H21" s="54"/>
    </x:row>
    <x:row r="22" ht="27" customHeight="1">
      <x:c r="A22" s="54" t="s">
        <x:v>30</x:v>
      </x:c>
      <x:c r="B22" s="54"/>
      <x:c r="C22" s="54"/>
      <x:c r="D22" s="54"/>
      <x:c r="E22" s="54"/>
      <x:c r="F22" s="54"/>
      <x:c r="G22" s="54"/>
      <x:c r="H22" s="54"/>
    </x:row>
    <x:row r="23" ht="27" customHeight="1">
      <x:c r="A23" s="54" t="s">
        <x:v>31</x:v>
      </x:c>
      <x:c r="B23" s="54"/>
      <x:c r="C23" s="54"/>
      <x:c r="D23" s="54"/>
      <x:c r="E23" s="54"/>
      <x:c r="F23" s="54"/>
      <x:c r="G23" s="54"/>
      <x:c r="H23" s="54"/>
    </x:row>
    <x:row r="24" ht="27" customHeight="1">
      <x:c r="A24" s="54" t="s">
        <x:v>32</x:v>
      </x:c>
      <x:c r="B24" s="54"/>
      <x:c r="C24" s="54"/>
      <x:c r="D24" s="54"/>
      <x:c r="E24" s="54"/>
      <x:c r="F24" s="54"/>
      <x:c r="G24" s="54"/>
      <x:c r="H24" s="54"/>
    </x:row>
    <x:row r="25" ht="27" customHeight="1">
      <x:c r="A25" s="54" t="s">
        <x:v>33</x:v>
      </x:c>
      <x:c r="B25" s="54"/>
      <x:c r="C25" s="54"/>
      <x:c r="D25" s="54"/>
      <x:c r="E25" s="54"/>
      <x:c r="F25" s="54"/>
      <x:c r="G25" s="54"/>
      <x:c r="H25" s="54"/>
    </x:row>
    <x:row r="26" ht="14.75">
      <x:c r="A26" s="1"/>
      <x:c r="B26" s="1"/>
      <x:c r="C26" s="1"/>
      <x:c r="D26" s="1"/>
      <x:c r="E26" s="1"/>
      <x:c r="F26" s="1"/>
      <x:c r="G26" s="1"/>
      <x:c r="H26" s="1"/>
    </x:row>
    <x:row r="27" ht="34" customHeight="1">
      <x:c r="A27" s="56" t="s">
        <x:v>34</x:v>
      </x:c>
      <x:c r="B27" s="56" t="s">
        <x:v>34</x:v>
      </x:c>
      <x:c r="C27" s="56" t="s">
        <x:v>34</x:v>
      </x:c>
      <x:c r="D27" s="56" t="s">
        <x:v>34</x:v>
      </x:c>
      <x:c r="E27" s="56" t="s">
        <x:v>34</x:v>
      </x:c>
      <x:c r="F27" s="56" t="s">
        <x:v>34</x:v>
      </x:c>
      <x:c r="G27" s="56" t="s">
        <x:v>34</x:v>
      </x:c>
      <x:c r="H27" s="56" t="s">
        <x:v>34</x:v>
      </x:c>
    </x:row>
    <x:row r="28" ht="34" customHeight="1">
      <x:c r="A28" s="56" t="s">
        <x:v>34</x:v>
      </x:c>
      <x:c r="B28" s="56" t="s">
        <x:v>34</x:v>
      </x:c>
      <x:c r="C28" s="56" t="s">
        <x:v>34</x:v>
      </x:c>
      <x:c r="D28" s="56" t="s">
        <x:v>34</x:v>
      </x:c>
      <x:c r="E28" s="56" t="s">
        <x:v>34</x:v>
      </x:c>
      <x:c r="F28" s="56" t="s">
        <x:v>34</x:v>
      </x:c>
      <x:c r="G28" s="56" t="s">
        <x:v>34</x:v>
      </x:c>
      <x:c r="H28" s="56" t="s">
        <x:v>34</x:v>
      </x:c>
    </x:row>
  </x:sheetData>
  <x:mergeCells>
    <x:mergeCell ref="A27:H28"/>
    <x:mergeCell ref="A21:H21"/>
    <x:mergeCell ref="A22:H22"/>
    <x:mergeCell ref="A23:H23"/>
    <x:mergeCell ref="A24:H24"/>
    <x:mergeCell ref="A25:H25"/>
    <x:mergeCell ref="A15:H15"/>
    <x:mergeCell ref="A16:H16"/>
    <x:mergeCell ref="A17:H17"/>
    <x:mergeCell ref="A18:H18"/>
    <x:mergeCell ref="A20:H20"/>
    <x:mergeCell ref="A1:H2"/>
    <x:mergeCell ref="A3:H3"/>
    <x:mergeCell ref="A12:H1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.625" customWidth="1"/>
    <x:col min="2" max="2" width="17.7890625" customWidth="1"/>
    <x:col min="3" max="3" width="10.75" customWidth="1"/>
    <x:col min="4" max="4" width="10.4140625" customWidth="1"/>
    <x:col min="5" max="5" width="20.75" customWidth="1"/>
    <x:col min="6" max="6" width="30.45703125" customWidth="1"/>
    <x:col min="7" max="7" width="19.5" customWidth="1"/>
    <x:col min="8" max="8" width="15" customWidth="1"/>
    <x:col min="9" max="9" width="55" customWidth="1"/>
    <x:col min="10" max="10" width="8.625" customWidth="1"/>
    <x:col min="11" max="11" width="15" customWidth="1"/>
  </x:cols>
  <x:sheetData>
    <x:row r="1" ht="28" customHeight="1">
      <x:c r="A1" s="51" t="s">
        <x:v>35</x:v>
      </x:c>
      <x:c r="B1" s="51" t="s">
        <x:v>35</x:v>
      </x:c>
      <x:c r="C1" s="51" t="s">
        <x:v>35</x:v>
      </x:c>
      <x:c r="D1" s="51" t="s">
        <x:v>35</x:v>
      </x:c>
      <x:c r="E1" s="51" t="s">
        <x:v>35</x:v>
      </x:c>
      <x:c r="F1" s="51" t="s">
        <x:v>35</x:v>
      </x:c>
      <x:c r="G1" s="51" t="s">
        <x:v>35</x:v>
      </x:c>
      <x:c r="H1" s="51" t="s">
        <x:v>35</x:v>
      </x:c>
      <x:c r="I1" s="51" t="s">
        <x:v>35</x:v>
      </x:c>
      <x:c r="J1" s="51" t="s">
        <x:v>35</x:v>
      </x:c>
      <x:c r="K1" s="51" t="s">
        <x:v>35</x:v>
      </x:c>
    </x:row>
    <x:row r="2" ht="28" customHeight="1">
      <x:c r="A2" s="51" t="s">
        <x:v>35</x:v>
      </x:c>
      <x:c r="B2" s="51" t="s">
        <x:v>35</x:v>
      </x:c>
      <x:c r="C2" s="51" t="s">
        <x:v>35</x:v>
      </x:c>
      <x:c r="D2" s="51" t="s">
        <x:v>35</x:v>
      </x:c>
      <x:c r="E2" s="51" t="s">
        <x:v>35</x:v>
      </x:c>
      <x:c r="F2" s="51" t="s">
        <x:v>35</x:v>
      </x:c>
      <x:c r="G2" s="51" t="s">
        <x:v>35</x:v>
      </x:c>
      <x:c r="H2" s="51" t="s">
        <x:v>35</x:v>
      </x:c>
      <x:c r="I2" s="51" t="s">
        <x:v>35</x:v>
      </x:c>
      <x:c r="J2" s="51" t="s">
        <x:v>35</x:v>
      </x:c>
      <x:c r="K2" s="51" t="s">
        <x:v>35</x:v>
      </x:c>
    </x:row>
    <x:row r="3" ht="28" customHeight="1">
      <x:c r="A3" s="52" t="s">
        <x:v>36</x:v>
      </x:c>
      <x:c r="B3" s="52" t="s">
        <x:v>36</x:v>
      </x:c>
      <x:c r="C3" s="52" t="s">
        <x:v>36</x:v>
      </x:c>
      <x:c r="D3" s="52" t="s">
        <x:v>36</x:v>
      </x:c>
      <x:c r="E3" s="52" t="s">
        <x:v>36</x:v>
      </x:c>
      <x:c r="F3" s="52" t="s">
        <x:v>36</x:v>
      </x:c>
      <x:c r="G3" s="52" t="s">
        <x:v>36</x:v>
      </x:c>
      <x:c r="H3" s="52" t="s">
        <x:v>36</x:v>
      </x:c>
      <x:c r="I3" s="52" t="s">
        <x:v>36</x:v>
      </x:c>
      <x:c r="J3" s="52" t="s">
        <x:v>36</x:v>
      </x:c>
      <x:c r="K3" s="52" t="s">
        <x:v>36</x:v>
      </x:c>
    </x:row>
    <x:row r="4" ht="38" customHeight="1">
      <x:c r="A4" s="21" t="s">
        <x:v>37</x:v>
      </x:c>
      <x:c r="B4" s="21" t="s">
        <x:v>38</x:v>
      </x:c>
      <x:c r="C4" s="21" t="s">
        <x:v>39</x:v>
      </x:c>
      <x:c r="D4" s="21" t="s">
        <x:v>40</x:v>
      </x:c>
      <x:c r="E4" s="21" t="s">
        <x:v>41</x:v>
      </x:c>
      <x:c r="F4" s="21" t="s">
        <x:v>42</x:v>
      </x:c>
      <x:c r="G4" s="21" t="s">
        <x:v>43</x:v>
      </x:c>
      <x:c r="H4" s="21" t="s">
        <x:v>44</x:v>
      </x:c>
      <x:c r="I4" s="21" t="s">
        <x:v>45</x:v>
      </x:c>
      <x:c r="J4" s="21" t="s">
        <x:v>46</x:v>
      </x:c>
      <x:c r="K4" s="21" t="s">
        <x:v>47</x:v>
      </x:c>
    </x:row>
    <x:row r="5" ht="14.75">
      <x:c r="A5" s="22">
        <x:v>1</x:v>
      </x:c>
      <x:c r="B5" s="23" t="s">
        <x:v>48</x:v>
      </x:c>
      <x:c r="C5" s="24" t="s">
        <x:v>49</x:v>
      </x:c>
      <x:c r="D5" s="24" t="s">
        <x:v>49</x:v>
      </x:c>
      <x:c r="E5" s="25" t="s">
        <x:v>50</x:v>
      </x:c>
      <x:c r="F5" s="25" t="s">
        <x:v>51</x:v>
      </x:c>
      <x:c r="G5" s="25" t="s">
        <x:v>52</x:v>
      </x:c>
      <x:c r="H5" s="25" t="s">
        <x:v>53</x:v>
      </x:c>
      <x:c r="I5" s="25" t="s">
        <x:v>54</x:v>
      </x:c>
      <x:c r="J5" s="26" t="str">
        <x:f t="shared" ref="J5:J36" si="0">IF(AND(E5&lt;&gt;"",F5&lt;&gt;"",G5&lt;&gt;"",H5&lt;&gt;"",I5&lt;&gt;""),"COMPLETE","PENDING")</x:f>
        <x:v>COMPLETE</x:v>
      </x:c>
      <x:c r="K5" s="27" t="str">
        <x:f t="shared" ref="K5:K36" si="1">IF(J5&lt;&gt;"COMPLETE","",IF(OR(AND(F5="DEVANAGARI_TARGET_REQUIRED",G5&lt;&gt;"REQUIRED"),AND(F5="NO_TRANSLITERATION_ALLOWED",G5&lt;&gt;"PROHIBITED"),AND(F5="LATIN_IDENTITY_PREFERRED_TARGET_OPTIONAL",G5&lt;&gt;"OPTIONAL"),AND(F5="BOTH_EQUAL_REVIEW_REQUIRED",G5="PROHIBITED")),"CHECK","OK"))</x:f>
        <x:v>OK</x:v>
      </x:c>
    </x:row>
    <x:row r="6" ht="14.75">
      <x:c r="A6" s="28">
        <x:v>2</x:v>
      </x:c>
      <x:c r="B6" s="29" t="s">
        <x:v>55</x:v>
      </x:c>
      <x:c r="C6" s="30" t="s">
        <x:v>56</x:v>
      </x:c>
      <x:c r="D6" s="30" t="s">
        <x:v>56</x:v>
      </x:c>
      <x:c r="E6" s="31" t="s">
        <x:v>57</x:v>
      </x:c>
      <x:c r="F6" s="31" t="s">
        <x:v>58</x:v>
      </x:c>
      <x:c r="G6" s="31" t="s">
        <x:v>58</x:v>
      </x:c>
      <x:c r="H6" s="31" t="s">
        <x:v>59</x:v>
      </x:c>
      <x:c r="I6" s="31" t="s">
        <x:v>60</x:v>
      </x:c>
      <x:c r="J6" s="32" t="str">
        <x:f t="shared" si="0">IF(AND(E6&lt;&gt;"",F6&lt;&gt;"",G6&lt;&gt;"",H6&lt;&gt;"",I6&lt;&gt;""),"COMPLETE","PENDING")</x:f>
        <x:v>COMPLETE</x:v>
      </x:c>
      <x:c r="K6" s="33" t="str">
        <x:f t="shared" si="1">IF(J6&lt;&gt;"COMPLETE","",IF(OR(AND(F6="DEVANAGARI_TARGET_REQUIRED",G6&lt;&gt;"REQUIRED"),AND(F6="NO_TRANSLITERATION_ALLOWED",G6&lt;&gt;"PROHIBITED"),AND(F6="LATIN_IDENTITY_PREFERRED_TARGET_OPTIONAL",G6&lt;&gt;"OPTIONAL"),AND(F6="BOTH_EQUAL_REVIEW_REQUIRED",G6="PROHIBITED")),"CHECK","OK"))</x:f>
        <x:v>OK</x:v>
      </x:c>
    </x:row>
    <x:row r="7" ht="14.75">
      <x:c r="A7" s="28">
        <x:v>3</x:v>
      </x:c>
      <x:c r="B7" s="29" t="s">
        <x:v>61</x:v>
      </x:c>
      <x:c r="C7" s="30" t="s">
        <x:v>62</x:v>
      </x:c>
      <x:c r="D7" s="30" t="s">
        <x:v>62</x:v>
      </x:c>
      <x:c r="E7" s="31" t="s">
        <x:v>63</x:v>
      </x:c>
      <x:c r="F7" s="31" t="s">
        <x:v>64</x:v>
      </x:c>
      <x:c r="G7" s="31" t="s">
        <x:v>65</x:v>
      </x:c>
      <x:c r="H7" s="31" t="s">
        <x:v>53</x:v>
      </x:c>
      <x:c r="I7" s="31" t="s">
        <x:v>66</x:v>
      </x:c>
      <x:c r="J7" s="32" t="str">
        <x:f t="shared" si="0">IF(AND(E7&lt;&gt;"",F7&lt;&gt;"",G7&lt;&gt;"",H7&lt;&gt;"",I7&lt;&gt;""),"COMPLETE","PENDING")</x:f>
        <x:v>COMPLETE</x:v>
      </x:c>
      <x:c r="K7" s="33" t="str">
        <x:f t="shared" si="1">IF(J7&lt;&gt;"COMPLETE","",IF(OR(AND(F7="DEVANAGARI_TARGET_REQUIRED",G7&lt;&gt;"REQUIRED"),AND(F7="NO_TRANSLITERATION_ALLOWED",G7&lt;&gt;"PROHIBITED"),AND(F7="LATIN_IDENTITY_PREFERRED_TARGET_OPTIONAL",G7&lt;&gt;"OPTIONAL"),AND(F7="BOTH_EQUAL_REVIEW_REQUIRED",G7="PROHIBITED")),"CHECK","OK"))</x:f>
        <x:v>OK</x:v>
      </x:c>
    </x:row>
    <x:row r="8" ht="29.5">
      <x:c r="A8" s="28">
        <x:v>4</x:v>
      </x:c>
      <x:c r="B8" s="29" t="s">
        <x:v>67</x:v>
      </x:c>
      <x:c r="C8" s="30" t="s">
        <x:v>68</x:v>
      </x:c>
      <x:c r="D8" s="30" t="s">
        <x:v>68</x:v>
      </x:c>
      <x:c r="E8" s="31" t="s">
        <x:v>50</x:v>
      </x:c>
      <x:c r="F8" s="31" t="s">
        <x:v>69</x:v>
      </x:c>
      <x:c r="G8" s="31" t="s">
        <x:v>65</x:v>
      </x:c>
      <x:c r="H8" s="31" t="s">
        <x:v>53</x:v>
      </x:c>
      <x:c r="I8" s="31" t="s">
        <x:v>70</x:v>
      </x:c>
      <x:c r="J8" s="32" t="str">
        <x:f t="shared" si="0">IF(AND(E8&lt;&gt;"",F8&lt;&gt;"",G8&lt;&gt;"",H8&lt;&gt;"",I8&lt;&gt;""),"COMPLETE","PENDING")</x:f>
        <x:v>COMPLETE</x:v>
      </x:c>
      <x:c r="K8" s="33" t="str">
        <x:f t="shared" si="1">IF(J8&lt;&gt;"COMPLETE","",IF(OR(AND(F8="DEVANAGARI_TARGET_REQUIRED",G8&lt;&gt;"REQUIRED"),AND(F8="NO_TRANSLITERATION_ALLOWED",G8&lt;&gt;"PROHIBITED"),AND(F8="LATIN_IDENTITY_PREFERRED_TARGET_OPTIONAL",G8&lt;&gt;"OPTIONAL"),AND(F8="BOTH_EQUAL_REVIEW_REQUIRED",G8="PROHIBITED")),"CHECK","OK"))</x:f>
        <x:v>OK</x:v>
      </x:c>
    </x:row>
    <x:row r="9" ht="29.5">
      <x:c r="A9" s="28">
        <x:v>5</x:v>
      </x:c>
      <x:c r="B9" s="29" t="s">
        <x:v>71</x:v>
      </x:c>
      <x:c r="C9" s="30" t="s">
        <x:v>72</x:v>
      </x:c>
      <x:c r="D9" s="30" t="s">
        <x:v>72</x:v>
      </x:c>
      <x:c r="E9" s="31" t="s">
        <x:v>50</x:v>
      </x:c>
      <x:c r="F9" s="31" t="s">
        <x:v>51</x:v>
      </x:c>
      <x:c r="G9" s="31" t="s">
        <x:v>52</x:v>
      </x:c>
      <x:c r="H9" s="31" t="s">
        <x:v>53</x:v>
      </x:c>
      <x:c r="I9" s="31" t="s">
        <x:v>73</x:v>
      </x:c>
      <x:c r="J9" s="32" t="str">
        <x:f t="shared" si="0">IF(AND(E9&lt;&gt;"",F9&lt;&gt;"",G9&lt;&gt;"",H9&lt;&gt;"",I9&lt;&gt;""),"COMPLETE","PENDING")</x:f>
        <x:v>COMPLETE</x:v>
      </x:c>
      <x:c r="K9" s="33" t="str">
        <x:f t="shared" si="1">IF(J9&lt;&gt;"COMPLETE","",IF(OR(AND(F9="DEVANAGARI_TARGET_REQUIRED",G9&lt;&gt;"REQUIRED"),AND(F9="NO_TRANSLITERATION_ALLOWED",G9&lt;&gt;"PROHIBITED"),AND(F9="LATIN_IDENTITY_PREFERRED_TARGET_OPTIONAL",G9&lt;&gt;"OPTIONAL"),AND(F9="BOTH_EQUAL_REVIEW_REQUIRED",G9="PROHIBITED")),"CHECK","OK"))</x:f>
        <x:v>OK</x:v>
      </x:c>
    </x:row>
    <x:row r="10" ht="29.5">
      <x:c r="A10" s="28">
        <x:v>6</x:v>
      </x:c>
      <x:c r="B10" s="29" t="s">
        <x:v>74</x:v>
      </x:c>
      <x:c r="C10" s="30" t="s">
        <x:v>56</x:v>
      </x:c>
      <x:c r="D10" s="30" t="s">
        <x:v>56</x:v>
      </x:c>
      <x:c r="E10" s="31" t="s">
        <x:v>57</x:v>
      </x:c>
      <x:c r="F10" s="31" t="s">
        <x:v>58</x:v>
      </x:c>
      <x:c r="G10" s="31" t="s">
        <x:v>58</x:v>
      </x:c>
      <x:c r="H10" s="31" t="s">
        <x:v>59</x:v>
      </x:c>
      <x:c r="I10" s="31" t="s">
        <x:v>75</x:v>
      </x:c>
      <x:c r="J10" s="32" t="str">
        <x:f t="shared" si="0">IF(AND(E10&lt;&gt;"",F10&lt;&gt;"",G10&lt;&gt;"",H10&lt;&gt;"",I10&lt;&gt;""),"COMPLETE","PENDING")</x:f>
        <x:v>COMPLETE</x:v>
      </x:c>
      <x:c r="K10" s="33" t="str">
        <x:f t="shared" si="1">IF(J10&lt;&gt;"COMPLETE","",IF(OR(AND(F10="DEVANAGARI_TARGET_REQUIRED",G10&lt;&gt;"REQUIRED"),AND(F10="NO_TRANSLITERATION_ALLOWED",G10&lt;&gt;"PROHIBITED"),AND(F10="LATIN_IDENTITY_PREFERRED_TARGET_OPTIONAL",G10&lt;&gt;"OPTIONAL"),AND(F10="BOTH_EQUAL_REVIEW_REQUIRED",G10="PROHIBITED")),"CHECK","OK"))</x:f>
        <x:v>OK</x:v>
      </x:c>
    </x:row>
    <x:row r="11" ht="14.75">
      <x:c r="A11" s="28">
        <x:v>7</x:v>
      </x:c>
      <x:c r="B11" s="29" t="s">
        <x:v>76</x:v>
      </x:c>
      <x:c r="C11" s="30" t="s">
        <x:v>77</x:v>
      </x:c>
      <x:c r="D11" s="30" t="s">
        <x:v>77</x:v>
      </x:c>
      <x:c r="E11" s="31" t="s">
        <x:v>63</x:v>
      </x:c>
      <x:c r="F11" s="31" t="s">
        <x:v>64</x:v>
      </x:c>
      <x:c r="G11" s="31" t="s">
        <x:v>65</x:v>
      </x:c>
      <x:c r="H11" s="31" t="s">
        <x:v>53</x:v>
      </x:c>
      <x:c r="I11" s="31" t="s">
        <x:v>66</x:v>
      </x:c>
      <x:c r="J11" s="32" t="str">
        <x:f t="shared" si="0">IF(AND(E11&lt;&gt;"",F11&lt;&gt;"",G11&lt;&gt;"",H11&lt;&gt;"",I11&lt;&gt;""),"COMPLETE","PENDING")</x:f>
        <x:v>COMPLETE</x:v>
      </x:c>
      <x:c r="K11" s="33" t="str">
        <x:f t="shared" si="1">IF(J11&lt;&gt;"COMPLETE","",IF(OR(AND(F11="DEVANAGARI_TARGET_REQUIRED",G11&lt;&gt;"REQUIRED"),AND(F11="NO_TRANSLITERATION_ALLOWED",G11&lt;&gt;"PROHIBITED"),AND(F11="LATIN_IDENTITY_PREFERRED_TARGET_OPTIONAL",G11&lt;&gt;"OPTIONAL"),AND(F11="BOTH_EQUAL_REVIEW_REQUIRED",G11="PROHIBITED")),"CHECK","OK"))</x:f>
        <x:v>OK</x:v>
      </x:c>
    </x:row>
    <x:row r="12" ht="29.5">
      <x:c r="A12" s="28">
        <x:v>8</x:v>
      </x:c>
      <x:c r="B12" s="29" t="s">
        <x:v>78</x:v>
      </x:c>
      <x:c r="C12" s="30" t="s">
        <x:v>79</x:v>
      </x:c>
      <x:c r="D12" s="30" t="s">
        <x:v>79</x:v>
      </x:c>
      <x:c r="E12" s="31" t="s">
        <x:v>50</x:v>
      </x:c>
      <x:c r="F12" s="31" t="s">
        <x:v>51</x:v>
      </x:c>
      <x:c r="G12" s="31" t="s">
        <x:v>52</x:v>
      </x:c>
      <x:c r="H12" s="31" t="s">
        <x:v>53</x:v>
      </x:c>
      <x:c r="I12" s="31" t="s">
        <x:v>73</x:v>
      </x:c>
      <x:c r="J12" s="32" t="str">
        <x:f t="shared" si="0">IF(AND(E12&lt;&gt;"",F12&lt;&gt;"",G12&lt;&gt;"",H12&lt;&gt;"",I12&lt;&gt;""),"COMPLETE","PENDING")</x:f>
        <x:v>COMPLETE</x:v>
      </x:c>
      <x:c r="K12" s="33" t="str">
        <x:f t="shared" si="1">IF(J12&lt;&gt;"COMPLETE","",IF(OR(AND(F12="DEVANAGARI_TARGET_REQUIRED",G12&lt;&gt;"REQUIRED"),AND(F12="NO_TRANSLITERATION_ALLOWED",G12&lt;&gt;"PROHIBITED"),AND(F12="LATIN_IDENTITY_PREFERRED_TARGET_OPTIONAL",G12&lt;&gt;"OPTIONAL"),AND(F12="BOTH_EQUAL_REVIEW_REQUIRED",G12="PROHIBITED")),"CHECK","OK"))</x:f>
        <x:v>OK</x:v>
      </x:c>
    </x:row>
    <x:row r="13" ht="29.5">
      <x:c r="A13" s="28">
        <x:v>9</x:v>
      </x:c>
      <x:c r="B13" s="29" t="s">
        <x:v>80</x:v>
      </x:c>
      <x:c r="C13" s="30" t="s">
        <x:v>81</x:v>
      </x:c>
      <x:c r="D13" s="30" t="s">
        <x:v>81</x:v>
      </x:c>
      <x:c r="E13" s="31" t="s">
        <x:v>57</x:v>
      </x:c>
      <x:c r="F13" s="31" t="s">
        <x:v>58</x:v>
      </x:c>
      <x:c r="G13" s="31" t="s">
        <x:v>58</x:v>
      </x:c>
      <x:c r="H13" s="31" t="s">
        <x:v>59</x:v>
      </x:c>
      <x:c r="I13" s="31" t="s">
        <x:v>75</x:v>
      </x:c>
      <x:c r="J13" s="32" t="str">
        <x:f t="shared" si="0">IF(AND(E13&lt;&gt;"",F13&lt;&gt;"",G13&lt;&gt;"",H13&lt;&gt;"",I13&lt;&gt;""),"COMPLETE","PENDING")</x:f>
        <x:v>COMPLETE</x:v>
      </x:c>
      <x:c r="K13" s="33" t="str">
        <x:f t="shared" si="1">IF(J13&lt;&gt;"COMPLETE","",IF(OR(AND(F13="DEVANAGARI_TARGET_REQUIRED",G13&lt;&gt;"REQUIRED"),AND(F13="NO_TRANSLITERATION_ALLOWED",G13&lt;&gt;"PROHIBITED"),AND(F13="LATIN_IDENTITY_PREFERRED_TARGET_OPTIONAL",G13&lt;&gt;"OPTIONAL"),AND(F13="BOTH_EQUAL_REVIEW_REQUIRED",G13="PROHIBITED")),"CHECK","OK"))</x:f>
        <x:v>OK</x:v>
      </x:c>
    </x:row>
    <x:row r="14" ht="29.5">
      <x:c r="A14" s="28">
        <x:v>10</x:v>
      </x:c>
      <x:c r="B14" s="29" t="s">
        <x:v>82</x:v>
      </x:c>
      <x:c r="C14" s="30" t="s">
        <x:v>81</x:v>
      </x:c>
      <x:c r="D14" s="30" t="s">
        <x:v>81</x:v>
      </x:c>
      <x:c r="E14" s="31" t="s">
        <x:v>57</x:v>
      </x:c>
      <x:c r="F14" s="31" t="s">
        <x:v>58</x:v>
      </x:c>
      <x:c r="G14" s="31" t="s">
        <x:v>58</x:v>
      </x:c>
      <x:c r="H14" s="31" t="s">
        <x:v>59</x:v>
      </x:c>
      <x:c r="I14" s="31" t="s">
        <x:v>75</x:v>
      </x:c>
      <x:c r="J14" s="32" t="str">
        <x:f t="shared" si="0">IF(AND(E14&lt;&gt;"",F14&lt;&gt;"",G14&lt;&gt;"",H14&lt;&gt;"",I14&lt;&gt;""),"COMPLETE","PENDING")</x:f>
        <x:v>COMPLETE</x:v>
      </x:c>
      <x:c r="K14" s="33" t="str">
        <x:f t="shared" si="1">IF(J14&lt;&gt;"COMPLETE","",IF(OR(AND(F14="DEVANAGARI_TARGET_REQUIRED",G14&lt;&gt;"REQUIRED"),AND(F14="NO_TRANSLITERATION_ALLOWED",G14&lt;&gt;"PROHIBITED"),AND(F14="LATIN_IDENTITY_PREFERRED_TARGET_OPTIONAL",G14&lt;&gt;"OPTIONAL"),AND(F14="BOTH_EQUAL_REVIEW_REQUIRED",G14="PROHIBITED")),"CHECK","OK"))</x:f>
        <x:v>OK</x:v>
      </x:c>
    </x:row>
    <x:row r="15" ht="29.5">
      <x:c r="A15" s="28">
        <x:v>11</x:v>
      </x:c>
      <x:c r="B15" s="29" t="s">
        <x:v>83</x:v>
      </x:c>
      <x:c r="C15" s="30" t="s">
        <x:v>84</x:v>
      </x:c>
      <x:c r="D15" s="30" t="s">
        <x:v>84</x:v>
      </x:c>
      <x:c r="E15" s="31" t="s">
        <x:v>50</x:v>
      </x:c>
      <x:c r="F15" s="31" t="s">
        <x:v>51</x:v>
      </x:c>
      <x:c r="G15" s="31" t="s">
        <x:v>52</x:v>
      </x:c>
      <x:c r="H15" s="31" t="s">
        <x:v>53</x:v>
      </x:c>
      <x:c r="I15" s="31" t="s">
        <x:v>73</x:v>
      </x:c>
      <x:c r="J15" s="32" t="str">
        <x:f t="shared" si="0">IF(AND(E15&lt;&gt;"",F15&lt;&gt;"",G15&lt;&gt;"",H15&lt;&gt;"",I15&lt;&gt;""),"COMPLETE","PENDING")</x:f>
        <x:v>COMPLETE</x:v>
      </x:c>
      <x:c r="K15" s="33" t="str">
        <x:f t="shared" si="1">IF(J15&lt;&gt;"COMPLETE","",IF(OR(AND(F15="DEVANAGARI_TARGET_REQUIRED",G15&lt;&gt;"REQUIRED"),AND(F15="NO_TRANSLITERATION_ALLOWED",G15&lt;&gt;"PROHIBITED"),AND(F15="LATIN_IDENTITY_PREFERRED_TARGET_OPTIONAL",G15&lt;&gt;"OPTIONAL"),AND(F15="BOTH_EQUAL_REVIEW_REQUIRED",G15="PROHIBITED")),"CHECK","OK"))</x:f>
        <x:v>OK</x:v>
      </x:c>
    </x:row>
    <x:row r="16" ht="14.75">
      <x:c r="A16" s="28">
        <x:v>12</x:v>
      </x:c>
      <x:c r="B16" s="29" t="s">
        <x:v>85</x:v>
      </x:c>
      <x:c r="C16" s="30" t="s">
        <x:v>86</x:v>
      </x:c>
      <x:c r="D16" s="30" t="s">
        <x:v>86</x:v>
      </x:c>
      <x:c r="E16" s="31" t="s">
        <x:v>63</x:v>
      </x:c>
      <x:c r="F16" s="31" t="s">
        <x:v>64</x:v>
      </x:c>
      <x:c r="G16" s="31" t="s">
        <x:v>65</x:v>
      </x:c>
      <x:c r="H16" s="31" t="s">
        <x:v>53</x:v>
      </x:c>
      <x:c r="I16" s="31" t="s">
        <x:v>66</x:v>
      </x:c>
      <x:c r="J16" s="32" t="str">
        <x:f t="shared" si="0">IF(AND(E16&lt;&gt;"",F16&lt;&gt;"",G16&lt;&gt;"",H16&lt;&gt;"",I16&lt;&gt;""),"COMPLETE","PENDING")</x:f>
        <x:v>COMPLETE</x:v>
      </x:c>
      <x:c r="K16" s="33" t="str">
        <x:f t="shared" si="1">IF(J16&lt;&gt;"COMPLETE","",IF(OR(AND(F16="DEVANAGARI_TARGET_REQUIRED",G16&lt;&gt;"REQUIRED"),AND(F16="NO_TRANSLITERATION_ALLOWED",G16&lt;&gt;"PROHIBITED"),AND(F16="LATIN_IDENTITY_PREFERRED_TARGET_OPTIONAL",G16&lt;&gt;"OPTIONAL"),AND(F16="BOTH_EQUAL_REVIEW_REQUIRED",G16="PROHIBITED")),"CHECK","OK"))</x:f>
        <x:v>OK</x:v>
      </x:c>
    </x:row>
    <x:row r="17" ht="29.5">
      <x:c r="A17" s="28">
        <x:v>13</x:v>
      </x:c>
      <x:c r="B17" s="29" t="s">
        <x:v>87</x:v>
      </x:c>
      <x:c r="C17" s="30" t="s">
        <x:v>88</x:v>
      </x:c>
      <x:c r="D17" s="30" t="s">
        <x:v>88</x:v>
      </x:c>
      <x:c r="E17" s="31" t="s">
        <x:v>50</x:v>
      </x:c>
      <x:c r="F17" s="31" t="s">
        <x:v>51</x:v>
      </x:c>
      <x:c r="G17" s="31" t="s">
        <x:v>52</x:v>
      </x:c>
      <x:c r="H17" s="31" t="s">
        <x:v>53</x:v>
      </x:c>
      <x:c r="I17" s="31" t="s">
        <x:v>73</x:v>
      </x:c>
      <x:c r="J17" s="32" t="str">
        <x:f t="shared" si="0">IF(AND(E17&lt;&gt;"",F17&lt;&gt;"",G17&lt;&gt;"",H17&lt;&gt;"",I17&lt;&gt;""),"COMPLETE","PENDING")</x:f>
        <x:v>COMPLETE</x:v>
      </x:c>
      <x:c r="K17" s="33" t="str">
        <x:f t="shared" si="1">IF(J17&lt;&gt;"COMPLETE","",IF(OR(AND(F17="DEVANAGARI_TARGET_REQUIRED",G17&lt;&gt;"REQUIRED"),AND(F17="NO_TRANSLITERATION_ALLOWED",G17&lt;&gt;"PROHIBITED"),AND(F17="LATIN_IDENTITY_PREFERRED_TARGET_OPTIONAL",G17&lt;&gt;"OPTIONAL"),AND(F17="BOTH_EQUAL_REVIEW_REQUIRED",G17="PROHIBITED")),"CHECK","OK"))</x:f>
        <x:v>OK</x:v>
      </x:c>
    </x:row>
    <x:row r="18" ht="29.5">
      <x:c r="A18" s="28">
        <x:v>14</x:v>
      </x:c>
      <x:c r="B18" s="29" t="s">
        <x:v>89</x:v>
      </x:c>
      <x:c r="C18" s="30" t="s">
        <x:v>90</x:v>
      </x:c>
      <x:c r="D18" s="30" t="s">
        <x:v>90</x:v>
      </x:c>
      <x:c r="E18" s="31" t="s">
        <x:v>50</x:v>
      </x:c>
      <x:c r="F18" s="31" t="s">
        <x:v>51</x:v>
      </x:c>
      <x:c r="G18" s="31" t="s">
        <x:v>52</x:v>
      </x:c>
      <x:c r="H18" s="31" t="s">
        <x:v>53</x:v>
      </x:c>
      <x:c r="I18" s="31" t="s">
        <x:v>73</x:v>
      </x:c>
      <x:c r="J18" s="32" t="str">
        <x:f t="shared" si="0">IF(AND(E18&lt;&gt;"",F18&lt;&gt;"",G18&lt;&gt;"",H18&lt;&gt;"",I18&lt;&gt;""),"COMPLETE","PENDING")</x:f>
        <x:v>COMPLETE</x:v>
      </x:c>
      <x:c r="K18" s="33" t="str">
        <x:f t="shared" si="1">IF(J18&lt;&gt;"COMPLETE","",IF(OR(AND(F18="DEVANAGARI_TARGET_REQUIRED",G18&lt;&gt;"REQUIRED"),AND(F18="NO_TRANSLITERATION_ALLOWED",G18&lt;&gt;"PROHIBITED"),AND(F18="LATIN_IDENTITY_PREFERRED_TARGET_OPTIONAL",G18&lt;&gt;"OPTIONAL"),AND(F18="BOTH_EQUAL_REVIEW_REQUIRED",G18="PROHIBITED")),"CHECK","OK"))</x:f>
        <x:v>OK</x:v>
      </x:c>
    </x:row>
    <x:row r="19" ht="29.5">
      <x:c r="A19" s="28">
        <x:v>15</x:v>
      </x:c>
      <x:c r="B19" s="29" t="s">
        <x:v>91</x:v>
      </x:c>
      <x:c r="C19" s="30" t="s">
        <x:v>92</x:v>
      </x:c>
      <x:c r="D19" s="30" t="s">
        <x:v>92</x:v>
      </x:c>
      <x:c r="E19" s="31" t="s">
        <x:v>57</x:v>
      </x:c>
      <x:c r="F19" s="31" t="s">
        <x:v>58</x:v>
      </x:c>
      <x:c r="G19" s="31" t="s">
        <x:v>58</x:v>
      </x:c>
      <x:c r="H19" s="31" t="s">
        <x:v>59</x:v>
      </x:c>
      <x:c r="I19" s="31" t="s">
        <x:v>75</x:v>
      </x:c>
      <x:c r="J19" s="32" t="str">
        <x:f t="shared" si="0">IF(AND(E19&lt;&gt;"",F19&lt;&gt;"",G19&lt;&gt;"",H19&lt;&gt;"",I19&lt;&gt;""),"COMPLETE","PENDING")</x:f>
        <x:v>COMPLETE</x:v>
      </x:c>
      <x:c r="K19" s="33" t="str">
        <x:f t="shared" si="1">IF(J19&lt;&gt;"COMPLETE","",IF(OR(AND(F19="DEVANAGARI_TARGET_REQUIRED",G19&lt;&gt;"REQUIRED"),AND(F19="NO_TRANSLITERATION_ALLOWED",G19&lt;&gt;"PROHIBITED"),AND(F19="LATIN_IDENTITY_PREFERRED_TARGET_OPTIONAL",G19&lt;&gt;"OPTIONAL"),AND(F19="BOTH_EQUAL_REVIEW_REQUIRED",G19="PROHIBITED")),"CHECK","OK"))</x:f>
        <x:v>OK</x:v>
      </x:c>
    </x:row>
    <x:row r="20" ht="29.5">
      <x:c r="A20" s="28">
        <x:v>16</x:v>
      </x:c>
      <x:c r="B20" s="29" t="s">
        <x:v>93</x:v>
      </x:c>
      <x:c r="C20" s="30" t="s">
        <x:v>94</x:v>
      </x:c>
      <x:c r="D20" s="30" t="s">
        <x:v>94</x:v>
      </x:c>
      <x:c r="E20" s="31" t="s">
        <x:v>50</x:v>
      </x:c>
      <x:c r="F20" s="31" t="s">
        <x:v>51</x:v>
      </x:c>
      <x:c r="G20" s="31" t="s">
        <x:v>52</x:v>
      </x:c>
      <x:c r="H20" s="31" t="s">
        <x:v>53</x:v>
      </x:c>
      <x:c r="I20" s="31" t="s">
        <x:v>73</x:v>
      </x:c>
      <x:c r="J20" s="32" t="str">
        <x:f t="shared" si="0">IF(AND(E20&lt;&gt;"",F20&lt;&gt;"",G20&lt;&gt;"",H20&lt;&gt;"",I20&lt;&gt;""),"COMPLETE","PENDING")</x:f>
        <x:v>COMPLETE</x:v>
      </x:c>
      <x:c r="K20" s="33" t="str">
        <x:f t="shared" si="1">IF(J20&lt;&gt;"COMPLETE","",IF(OR(AND(F20="DEVANAGARI_TARGET_REQUIRED",G20&lt;&gt;"REQUIRED"),AND(F20="NO_TRANSLITERATION_ALLOWED",G20&lt;&gt;"PROHIBITED"),AND(F20="LATIN_IDENTITY_PREFERRED_TARGET_OPTIONAL",G20&lt;&gt;"OPTIONAL"),AND(F20="BOTH_EQUAL_REVIEW_REQUIRED",G20="PROHIBITED")),"CHECK","OK"))</x:f>
        <x:v>OK</x:v>
      </x:c>
    </x:row>
    <x:row r="21" ht="29.5">
      <x:c r="A21" s="28">
        <x:v>17</x:v>
      </x:c>
      <x:c r="B21" s="29" t="s">
        <x:v>95</x:v>
      </x:c>
      <x:c r="C21" s="30" t="s">
        <x:v>96</x:v>
      </x:c>
      <x:c r="D21" s="30" t="s">
        <x:v>96</x:v>
      </x:c>
      <x:c r="E21" s="31" t="s">
        <x:v>50</x:v>
      </x:c>
      <x:c r="F21" s="31" t="s">
        <x:v>51</x:v>
      </x:c>
      <x:c r="G21" s="31" t="s">
        <x:v>52</x:v>
      </x:c>
      <x:c r="H21" s="31" t="s">
        <x:v>53</x:v>
      </x:c>
      <x:c r="I21" s="31" t="s">
        <x:v>73</x:v>
      </x:c>
      <x:c r="J21" s="32" t="str">
        <x:f t="shared" si="0">IF(AND(E21&lt;&gt;"",F21&lt;&gt;"",G21&lt;&gt;"",H21&lt;&gt;"",I21&lt;&gt;""),"COMPLETE","PENDING")</x:f>
        <x:v>COMPLETE</x:v>
      </x:c>
      <x:c r="K21" s="33" t="str">
        <x:f t="shared" si="1">IF(J21&lt;&gt;"COMPLETE","",IF(OR(AND(F21="DEVANAGARI_TARGET_REQUIRED",G21&lt;&gt;"REQUIRED"),AND(F21="NO_TRANSLITERATION_ALLOWED",G21&lt;&gt;"PROHIBITED"),AND(F21="LATIN_IDENTITY_PREFERRED_TARGET_OPTIONAL",G21&lt;&gt;"OPTIONAL"),AND(F21="BOTH_EQUAL_REVIEW_REQUIRED",G21="PROHIBITED")),"CHECK","OK"))</x:f>
        <x:v>OK</x:v>
      </x:c>
    </x:row>
    <x:row r="22" ht="29.5">
      <x:c r="A22" s="28">
        <x:v>18</x:v>
      </x:c>
      <x:c r="B22" s="29" t="s">
        <x:v>97</x:v>
      </x:c>
      <x:c r="C22" s="30" t="s">
        <x:v>98</x:v>
      </x:c>
      <x:c r="D22" s="30" t="s">
        <x:v>98</x:v>
      </x:c>
      <x:c r="E22" s="31" t="s">
        <x:v>50</x:v>
      </x:c>
      <x:c r="F22" s="31" t="s">
        <x:v>51</x:v>
      </x:c>
      <x:c r="G22" s="31" t="s">
        <x:v>52</x:v>
      </x:c>
      <x:c r="H22" s="31" t="s">
        <x:v>53</x:v>
      </x:c>
      <x:c r="I22" s="31" t="s">
        <x:v>73</x:v>
      </x:c>
      <x:c r="J22" s="32" t="str">
        <x:f t="shared" si="0">IF(AND(E22&lt;&gt;"",F22&lt;&gt;"",G22&lt;&gt;"",H22&lt;&gt;"",I22&lt;&gt;""),"COMPLETE","PENDING")</x:f>
        <x:v>COMPLETE</x:v>
      </x:c>
      <x:c r="K22" s="33" t="str">
        <x:f t="shared" si="1">IF(J22&lt;&gt;"COMPLETE","",IF(OR(AND(F22="DEVANAGARI_TARGET_REQUIRED",G22&lt;&gt;"REQUIRED"),AND(F22="NO_TRANSLITERATION_ALLOWED",G22&lt;&gt;"PROHIBITED"),AND(F22="LATIN_IDENTITY_PREFERRED_TARGET_OPTIONAL",G22&lt;&gt;"OPTIONAL"),AND(F22="BOTH_EQUAL_REVIEW_REQUIRED",G22="PROHIBITED")),"CHECK","OK"))</x:f>
        <x:v>OK</x:v>
      </x:c>
    </x:row>
    <x:row r="23" ht="29.5">
      <x:c r="A23" s="28">
        <x:v>19</x:v>
      </x:c>
      <x:c r="B23" s="29" t="s">
        <x:v>99</x:v>
      </x:c>
      <x:c r="C23" s="30" t="s">
        <x:v>100</x:v>
      </x:c>
      <x:c r="D23" s="30" t="s">
        <x:v>100</x:v>
      </x:c>
      <x:c r="E23" s="31" t="s">
        <x:v>50</x:v>
      </x:c>
      <x:c r="F23" s="31" t="s">
        <x:v>51</x:v>
      </x:c>
      <x:c r="G23" s="31" t="s">
        <x:v>52</x:v>
      </x:c>
      <x:c r="H23" s="31" t="s">
        <x:v>53</x:v>
      </x:c>
      <x:c r="I23" s="31" t="s">
        <x:v>73</x:v>
      </x:c>
      <x:c r="J23" s="32" t="str">
        <x:f t="shared" si="0">IF(AND(E23&lt;&gt;"",F23&lt;&gt;"",G23&lt;&gt;"",H23&lt;&gt;"",I23&lt;&gt;""),"COMPLETE","PENDING")</x:f>
        <x:v>COMPLETE</x:v>
      </x:c>
      <x:c r="K23" s="33" t="str">
        <x:f t="shared" si="1">IF(J23&lt;&gt;"COMPLETE","",IF(OR(AND(F23="DEVANAGARI_TARGET_REQUIRED",G23&lt;&gt;"REQUIRED"),AND(F23="NO_TRANSLITERATION_ALLOWED",G23&lt;&gt;"PROHIBITED"),AND(F23="LATIN_IDENTITY_PREFERRED_TARGET_OPTIONAL",G23&lt;&gt;"OPTIONAL"),AND(F23="BOTH_EQUAL_REVIEW_REQUIRED",G23="PROHIBITED")),"CHECK","OK"))</x:f>
        <x:v>OK</x:v>
      </x:c>
    </x:row>
    <x:row r="24" ht="14.75">
      <x:c r="A24" s="28">
        <x:v>20</x:v>
      </x:c>
      <x:c r="B24" s="29" t="s">
        <x:v>101</x:v>
      </x:c>
      <x:c r="C24" s="30" t="s">
        <x:v>102</x:v>
      </x:c>
      <x:c r="D24" s="30" t="s">
        <x:v>102</x:v>
      </x:c>
      <x:c r="E24" s="31" t="s">
        <x:v>63</x:v>
      </x:c>
      <x:c r="F24" s="31" t="s">
        <x:v>64</x:v>
      </x:c>
      <x:c r="G24" s="31" t="s">
        <x:v>65</x:v>
      </x:c>
      <x:c r="H24" s="31" t="s">
        <x:v>53</x:v>
      </x:c>
      <x:c r="I24" s="31" t="s">
        <x:v>66</x:v>
      </x:c>
      <x:c r="J24" s="32" t="str">
        <x:f t="shared" si="0">IF(AND(E24&lt;&gt;"",F24&lt;&gt;"",G24&lt;&gt;"",H24&lt;&gt;"",I24&lt;&gt;""),"COMPLETE","PENDING")</x:f>
        <x:v>COMPLETE</x:v>
      </x:c>
      <x:c r="K24" s="33" t="str">
        <x:f t="shared" si="1">IF(J24&lt;&gt;"COMPLETE","",IF(OR(AND(F24="DEVANAGARI_TARGET_REQUIRED",G24&lt;&gt;"REQUIRED"),AND(F24="NO_TRANSLITERATION_ALLOWED",G24&lt;&gt;"PROHIBITED"),AND(F24="LATIN_IDENTITY_PREFERRED_TARGET_OPTIONAL",G24&lt;&gt;"OPTIONAL"),AND(F24="BOTH_EQUAL_REVIEW_REQUIRED",G24="PROHIBITED")),"CHECK","OK"))</x:f>
        <x:v>OK</x:v>
      </x:c>
    </x:row>
    <x:row r="25" ht="14.75">
      <x:c r="A25" s="28">
        <x:v>21</x:v>
      </x:c>
      <x:c r="B25" s="29" t="s">
        <x:v>103</x:v>
      </x:c>
      <x:c r="C25" s="30" t="s">
        <x:v>104</x:v>
      </x:c>
      <x:c r="D25" s="30" t="s">
        <x:v>104</x:v>
      </x:c>
      <x:c r="E25" s="31" t="s">
        <x:v>63</x:v>
      </x:c>
      <x:c r="F25" s="31" t="s">
        <x:v>64</x:v>
      </x:c>
      <x:c r="G25" s="31" t="s">
        <x:v>65</x:v>
      </x:c>
      <x:c r="H25" s="31" t="s">
        <x:v>53</x:v>
      </x:c>
      <x:c r="I25" s="31" t="s">
        <x:v>66</x:v>
      </x:c>
      <x:c r="J25" s="32" t="str">
        <x:f t="shared" si="0">IF(AND(E25&lt;&gt;"",F25&lt;&gt;"",G25&lt;&gt;"",H25&lt;&gt;"",I25&lt;&gt;""),"COMPLETE","PENDING")</x:f>
        <x:v>COMPLETE</x:v>
      </x:c>
      <x:c r="K25" s="33" t="str">
        <x:f t="shared" si="1">IF(J25&lt;&gt;"COMPLETE","",IF(OR(AND(F25="DEVANAGARI_TARGET_REQUIRED",G25&lt;&gt;"REQUIRED"),AND(F25="NO_TRANSLITERATION_ALLOWED",G25&lt;&gt;"PROHIBITED"),AND(F25="LATIN_IDENTITY_PREFERRED_TARGET_OPTIONAL",G25&lt;&gt;"OPTIONAL"),AND(F25="BOTH_EQUAL_REVIEW_REQUIRED",G25="PROHIBITED")),"CHECK","OK"))</x:f>
        <x:v>OK</x:v>
      </x:c>
    </x:row>
    <x:row r="26" ht="14.75">
      <x:c r="A26" s="28">
        <x:v>22</x:v>
      </x:c>
      <x:c r="B26" s="29" t="s">
        <x:v>105</x:v>
      </x:c>
      <x:c r="C26" s="30" t="s">
        <x:v>106</x:v>
      </x:c>
      <x:c r="D26" s="30" t="s">
        <x:v>106</x:v>
      </x:c>
      <x:c r="E26" s="31" t="s">
        <x:v>63</x:v>
      </x:c>
      <x:c r="F26" s="31" t="s">
        <x:v>64</x:v>
      </x:c>
      <x:c r="G26" s="31" t="s">
        <x:v>65</x:v>
      </x:c>
      <x:c r="H26" s="31" t="s">
        <x:v>53</x:v>
      </x:c>
      <x:c r="I26" s="31" t="s">
        <x:v>66</x:v>
      </x:c>
      <x:c r="J26" s="32" t="str">
        <x:f t="shared" si="0">IF(AND(E26&lt;&gt;"",F26&lt;&gt;"",G26&lt;&gt;"",H26&lt;&gt;"",I26&lt;&gt;""),"COMPLETE","PENDING")</x:f>
        <x:v>COMPLETE</x:v>
      </x:c>
      <x:c r="K26" s="33" t="str">
        <x:f t="shared" si="1">IF(J26&lt;&gt;"COMPLETE","",IF(OR(AND(F26="DEVANAGARI_TARGET_REQUIRED",G26&lt;&gt;"REQUIRED"),AND(F26="NO_TRANSLITERATION_ALLOWED",G26&lt;&gt;"PROHIBITED"),AND(F26="LATIN_IDENTITY_PREFERRED_TARGET_OPTIONAL",G26&lt;&gt;"OPTIONAL"),AND(F26="BOTH_EQUAL_REVIEW_REQUIRED",G26="PROHIBITED")),"CHECK","OK"))</x:f>
        <x:v>OK</x:v>
      </x:c>
    </x:row>
    <x:row r="27" ht="29.5">
      <x:c r="A27" s="28">
        <x:v>23</x:v>
      </x:c>
      <x:c r="B27" s="29" t="s">
        <x:v>107</x:v>
      </x:c>
      <x:c r="C27" s="30" t="s">
        <x:v>108</x:v>
      </x:c>
      <x:c r="D27" s="30" t="s">
        <x:v>108</x:v>
      </x:c>
      <x:c r="E27" s="31" t="s">
        <x:v>50</x:v>
      </x:c>
      <x:c r="F27" s="31" t="s">
        <x:v>51</x:v>
      </x:c>
      <x:c r="G27" s="31" t="s">
        <x:v>52</x:v>
      </x:c>
      <x:c r="H27" s="31" t="s">
        <x:v>53</x:v>
      </x:c>
      <x:c r="I27" s="31" t="s">
        <x:v>73</x:v>
      </x:c>
      <x:c r="J27" s="32" t="str">
        <x:f t="shared" si="0">IF(AND(E27&lt;&gt;"",F27&lt;&gt;"",G27&lt;&gt;"",H27&lt;&gt;"",I27&lt;&gt;""),"COMPLETE","PENDING")</x:f>
        <x:v>COMPLETE</x:v>
      </x:c>
      <x:c r="K27" s="33" t="str">
        <x:f t="shared" si="1">IF(J27&lt;&gt;"COMPLETE","",IF(OR(AND(F27="DEVANAGARI_TARGET_REQUIRED",G27&lt;&gt;"REQUIRED"),AND(F27="NO_TRANSLITERATION_ALLOWED",G27&lt;&gt;"PROHIBITED"),AND(F27="LATIN_IDENTITY_PREFERRED_TARGET_OPTIONAL",G27&lt;&gt;"OPTIONAL"),AND(F27="BOTH_EQUAL_REVIEW_REQUIRED",G27="PROHIBITED")),"CHECK","OK"))</x:f>
        <x:v>OK</x:v>
      </x:c>
    </x:row>
    <x:row r="28" ht="29.5">
      <x:c r="A28" s="28">
        <x:v>24</x:v>
      </x:c>
      <x:c r="B28" s="29" t="s">
        <x:v>109</x:v>
      </x:c>
      <x:c r="C28" s="30" t="s">
        <x:v>110</x:v>
      </x:c>
      <x:c r="D28" s="30" t="s">
        <x:v>110</x:v>
      </x:c>
      <x:c r="E28" s="31" t="s">
        <x:v>50</x:v>
      </x:c>
      <x:c r="F28" s="31" t="s">
        <x:v>51</x:v>
      </x:c>
      <x:c r="G28" s="31" t="s">
        <x:v>52</x:v>
      </x:c>
      <x:c r="H28" s="31" t="s">
        <x:v>53</x:v>
      </x:c>
      <x:c r="I28" s="31" t="s">
        <x:v>73</x:v>
      </x:c>
      <x:c r="J28" s="32" t="str">
        <x:f t="shared" si="0">IF(AND(E28&lt;&gt;"",F28&lt;&gt;"",G28&lt;&gt;"",H28&lt;&gt;"",I28&lt;&gt;""),"COMPLETE","PENDING")</x:f>
        <x:v>COMPLETE</x:v>
      </x:c>
      <x:c r="K28" s="33" t="str">
        <x:f t="shared" si="1">IF(J28&lt;&gt;"COMPLETE","",IF(OR(AND(F28="DEVANAGARI_TARGET_REQUIRED",G28&lt;&gt;"REQUIRED"),AND(F28="NO_TRANSLITERATION_ALLOWED",G28&lt;&gt;"PROHIBITED"),AND(F28="LATIN_IDENTITY_PREFERRED_TARGET_OPTIONAL",G28&lt;&gt;"OPTIONAL"),AND(F28="BOTH_EQUAL_REVIEW_REQUIRED",G28="PROHIBITED")),"CHECK","OK"))</x:f>
        <x:v>OK</x:v>
      </x:c>
    </x:row>
    <x:row r="29" ht="29.5">
      <x:c r="A29" s="28">
        <x:v>25</x:v>
      </x:c>
      <x:c r="B29" s="29" t="s">
        <x:v>111</x:v>
      </x:c>
      <x:c r="C29" s="30" t="s">
        <x:v>112</x:v>
      </x:c>
      <x:c r="D29" s="30" t="s">
        <x:v>112</x:v>
      </x:c>
      <x:c r="E29" s="31" t="s">
        <x:v>57</x:v>
      </x:c>
      <x:c r="F29" s="31" t="s">
        <x:v>58</x:v>
      </x:c>
      <x:c r="G29" s="31" t="s">
        <x:v>58</x:v>
      </x:c>
      <x:c r="H29" s="31" t="s">
        <x:v>59</x:v>
      </x:c>
      <x:c r="I29" s="31" t="s">
        <x:v>75</x:v>
      </x:c>
      <x:c r="J29" s="32" t="str">
        <x:f t="shared" si="0">IF(AND(E29&lt;&gt;"",F29&lt;&gt;"",G29&lt;&gt;"",H29&lt;&gt;"",I29&lt;&gt;""),"COMPLETE","PENDING")</x:f>
        <x:v>COMPLETE</x:v>
      </x:c>
      <x:c r="K29" s="33" t="str">
        <x:f t="shared" si="1">IF(J29&lt;&gt;"COMPLETE","",IF(OR(AND(F29="DEVANAGARI_TARGET_REQUIRED",G29&lt;&gt;"REQUIRED"),AND(F29="NO_TRANSLITERATION_ALLOWED",G29&lt;&gt;"PROHIBITED"),AND(F29="LATIN_IDENTITY_PREFERRED_TARGET_OPTIONAL",G29&lt;&gt;"OPTIONAL"),AND(F29="BOTH_EQUAL_REVIEW_REQUIRED",G29="PROHIBITED")),"CHECK","OK"))</x:f>
        <x:v>OK</x:v>
      </x:c>
    </x:row>
    <x:row r="30" ht="29.5">
      <x:c r="A30" s="28">
        <x:v>26</x:v>
      </x:c>
      <x:c r="B30" s="29" t="s">
        <x:v>113</x:v>
      </x:c>
      <x:c r="C30" s="30" t="s">
        <x:v>114</x:v>
      </x:c>
      <x:c r="D30" s="30" t="s">
        <x:v>114</x:v>
      </x:c>
      <x:c r="E30" s="31" t="s">
        <x:v>57</x:v>
      </x:c>
      <x:c r="F30" s="31" t="s">
        <x:v>58</x:v>
      </x:c>
      <x:c r="G30" s="31" t="s">
        <x:v>58</x:v>
      </x:c>
      <x:c r="H30" s="31" t="s">
        <x:v>59</x:v>
      </x:c>
      <x:c r="I30" s="31" t="s">
        <x:v>75</x:v>
      </x:c>
      <x:c r="J30" s="32" t="str">
        <x:f t="shared" si="0">IF(AND(E30&lt;&gt;"",F30&lt;&gt;"",G30&lt;&gt;"",H30&lt;&gt;"",I30&lt;&gt;""),"COMPLETE","PENDING")</x:f>
        <x:v>COMPLETE</x:v>
      </x:c>
      <x:c r="K30" s="33" t="str">
        <x:f t="shared" si="1">IF(J30&lt;&gt;"COMPLETE","",IF(OR(AND(F30="DEVANAGARI_TARGET_REQUIRED",G30&lt;&gt;"REQUIRED"),AND(F30="NO_TRANSLITERATION_ALLOWED",G30&lt;&gt;"PROHIBITED"),AND(F30="LATIN_IDENTITY_PREFERRED_TARGET_OPTIONAL",G30&lt;&gt;"OPTIONAL"),AND(F30="BOTH_EQUAL_REVIEW_REQUIRED",G30="PROHIBITED")),"CHECK","OK"))</x:f>
        <x:v>OK</x:v>
      </x:c>
    </x:row>
    <x:row r="31" ht="29.5">
      <x:c r="A31" s="28">
        <x:v>27</x:v>
      </x:c>
      <x:c r="B31" s="29" t="s">
        <x:v>115</x:v>
      </x:c>
      <x:c r="C31" s="30" t="s">
        <x:v>116</x:v>
      </x:c>
      <x:c r="D31" s="30" t="s">
        <x:v>116</x:v>
      </x:c>
      <x:c r="E31" s="31" t="s">
        <x:v>50</x:v>
      </x:c>
      <x:c r="F31" s="31" t="s">
        <x:v>51</x:v>
      </x:c>
      <x:c r="G31" s="31" t="s">
        <x:v>52</x:v>
      </x:c>
      <x:c r="H31" s="31" t="s">
        <x:v>53</x:v>
      </x:c>
      <x:c r="I31" s="31" t="s">
        <x:v>73</x:v>
      </x:c>
      <x:c r="J31" s="32" t="str">
        <x:f t="shared" si="0">IF(AND(E31&lt;&gt;"",F31&lt;&gt;"",G31&lt;&gt;"",H31&lt;&gt;"",I31&lt;&gt;""),"COMPLETE","PENDING")</x:f>
        <x:v>COMPLETE</x:v>
      </x:c>
      <x:c r="K31" s="33" t="str">
        <x:f t="shared" si="1">IF(J31&lt;&gt;"COMPLETE","",IF(OR(AND(F31="DEVANAGARI_TARGET_REQUIRED",G31&lt;&gt;"REQUIRED"),AND(F31="NO_TRANSLITERATION_ALLOWED",G31&lt;&gt;"PROHIBITED"),AND(F31="LATIN_IDENTITY_PREFERRED_TARGET_OPTIONAL",G31&lt;&gt;"OPTIONAL"),AND(F31="BOTH_EQUAL_REVIEW_REQUIRED",G31="PROHIBITED")),"CHECK","OK"))</x:f>
        <x:v>OK</x:v>
      </x:c>
    </x:row>
    <x:row r="32" ht="29.5">
      <x:c r="A32" s="28">
        <x:v>28</x:v>
      </x:c>
      <x:c r="B32" s="29" t="s">
        <x:v>117</x:v>
      </x:c>
      <x:c r="C32" s="30" t="s">
        <x:v>92</x:v>
      </x:c>
      <x:c r="D32" s="30" t="s">
        <x:v>92</x:v>
      </x:c>
      <x:c r="E32" s="31" t="s">
        <x:v>57</x:v>
      </x:c>
      <x:c r="F32" s="31" t="s">
        <x:v>58</x:v>
      </x:c>
      <x:c r="G32" s="31" t="s">
        <x:v>58</x:v>
      </x:c>
      <x:c r="H32" s="31" t="s">
        <x:v>59</x:v>
      </x:c>
      <x:c r="I32" s="31" t="s">
        <x:v>75</x:v>
      </x:c>
      <x:c r="J32" s="32" t="str">
        <x:f t="shared" si="0">IF(AND(E32&lt;&gt;"",F32&lt;&gt;"",G32&lt;&gt;"",H32&lt;&gt;"",I32&lt;&gt;""),"COMPLETE","PENDING")</x:f>
        <x:v>COMPLETE</x:v>
      </x:c>
      <x:c r="K32" s="33" t="str">
        <x:f t="shared" si="1">IF(J32&lt;&gt;"COMPLETE","",IF(OR(AND(F32="DEVANAGARI_TARGET_REQUIRED",G32&lt;&gt;"REQUIRED"),AND(F32="NO_TRANSLITERATION_ALLOWED",G32&lt;&gt;"PROHIBITED"),AND(F32="LATIN_IDENTITY_PREFERRED_TARGET_OPTIONAL",G32&lt;&gt;"OPTIONAL"),AND(F32="BOTH_EQUAL_REVIEW_REQUIRED",G32="PROHIBITED")),"CHECK","OK"))</x:f>
        <x:v>OK</x:v>
      </x:c>
    </x:row>
    <x:row r="33" ht="29.5">
      <x:c r="A33" s="28">
        <x:v>29</x:v>
      </x:c>
      <x:c r="B33" s="29" t="s">
        <x:v>118</x:v>
      </x:c>
      <x:c r="C33" s="30" t="s">
        <x:v>119</x:v>
      </x:c>
      <x:c r="D33" s="30" t="s">
        <x:v>119</x:v>
      </x:c>
      <x:c r="E33" s="31" t="s">
        <x:v>50</x:v>
      </x:c>
      <x:c r="F33" s="31" t="s">
        <x:v>51</x:v>
      </x:c>
      <x:c r="G33" s="31" t="s">
        <x:v>52</x:v>
      </x:c>
      <x:c r="H33" s="31" t="s">
        <x:v>53</x:v>
      </x:c>
      <x:c r="I33" s="31" t="s">
        <x:v>73</x:v>
      </x:c>
      <x:c r="J33" s="32" t="str">
        <x:f t="shared" si="0">IF(AND(E33&lt;&gt;"",F33&lt;&gt;"",G33&lt;&gt;"",H33&lt;&gt;"",I33&lt;&gt;""),"COMPLETE","PENDING")</x:f>
        <x:v>COMPLETE</x:v>
      </x:c>
      <x:c r="K33" s="33" t="str">
        <x:f t="shared" si="1">IF(J33&lt;&gt;"COMPLETE","",IF(OR(AND(F33="DEVANAGARI_TARGET_REQUIRED",G33&lt;&gt;"REQUIRED"),AND(F33="NO_TRANSLITERATION_ALLOWED",G33&lt;&gt;"PROHIBITED"),AND(F33="LATIN_IDENTITY_PREFERRED_TARGET_OPTIONAL",G33&lt;&gt;"OPTIONAL"),AND(F33="BOTH_EQUAL_REVIEW_REQUIRED",G33="PROHIBITED")),"CHECK","OK"))</x:f>
        <x:v>OK</x:v>
      </x:c>
    </x:row>
    <x:row r="34" ht="14.75">
      <x:c r="A34" s="28">
        <x:v>30</x:v>
      </x:c>
      <x:c r="B34" s="29" t="s">
        <x:v>120</x:v>
      </x:c>
      <x:c r="C34" s="30" t="s">
        <x:v>121</x:v>
      </x:c>
      <x:c r="D34" s="30" t="s">
        <x:v>121</x:v>
      </x:c>
      <x:c r="E34" s="31" t="s">
        <x:v>63</x:v>
      </x:c>
      <x:c r="F34" s="31" t="s">
        <x:v>64</x:v>
      </x:c>
      <x:c r="G34" s="31" t="s">
        <x:v>65</x:v>
      </x:c>
      <x:c r="H34" s="31" t="s">
        <x:v>53</x:v>
      </x:c>
      <x:c r="I34" s="31" t="s">
        <x:v>122</x:v>
      </x:c>
      <x:c r="J34" s="32" t="str">
        <x:f t="shared" si="0">IF(AND(E34&lt;&gt;"",F34&lt;&gt;"",G34&lt;&gt;"",H34&lt;&gt;"",I34&lt;&gt;""),"COMPLETE","PENDING")</x:f>
        <x:v>COMPLETE</x:v>
      </x:c>
      <x:c r="K34" s="33" t="str">
        <x:f t="shared" si="1">IF(J34&lt;&gt;"COMPLETE","",IF(OR(AND(F34="DEVANAGARI_TARGET_REQUIRED",G34&lt;&gt;"REQUIRED"),AND(F34="NO_TRANSLITERATION_ALLOWED",G34&lt;&gt;"PROHIBITED"),AND(F34="LATIN_IDENTITY_PREFERRED_TARGET_OPTIONAL",G34&lt;&gt;"OPTIONAL"),AND(F34="BOTH_EQUAL_REVIEW_REQUIRED",G34="PROHIBITED")),"CHECK","OK"))</x:f>
        <x:v>OK</x:v>
      </x:c>
    </x:row>
    <x:row r="35" ht="14.75">
      <x:c r="A35" s="28">
        <x:v>31</x:v>
      </x:c>
      <x:c r="B35" s="29" t="s">
        <x:v>123</x:v>
      </x:c>
      <x:c r="C35" s="30" t="s">
        <x:v>124</x:v>
      </x:c>
      <x:c r="D35" s="30" t="s">
        <x:v>124</x:v>
      </x:c>
      <x:c r="E35" s="31" t="s">
        <x:v>63</x:v>
      </x:c>
      <x:c r="F35" s="31" t="s">
        <x:v>64</x:v>
      </x:c>
      <x:c r="G35" s="31" t="s">
        <x:v>65</x:v>
      </x:c>
      <x:c r="H35" s="31" t="s">
        <x:v>53</x:v>
      </x:c>
      <x:c r="I35" s="31" t="s">
        <x:v>125</x:v>
      </x:c>
      <x:c r="J35" s="32" t="str">
        <x:f t="shared" si="0">IF(AND(E35&lt;&gt;"",F35&lt;&gt;"",G35&lt;&gt;"",H35&lt;&gt;"",I35&lt;&gt;""),"COMPLETE","PENDING")</x:f>
        <x:v>COMPLETE</x:v>
      </x:c>
      <x:c r="K35" s="33" t="str">
        <x:f t="shared" si="1">IF(J35&lt;&gt;"COMPLETE","",IF(OR(AND(F35="DEVANAGARI_TARGET_REQUIRED",G35&lt;&gt;"REQUIRED"),AND(F35="NO_TRANSLITERATION_ALLOWED",G35&lt;&gt;"PROHIBITED"),AND(F35="LATIN_IDENTITY_PREFERRED_TARGET_OPTIONAL",G35&lt;&gt;"OPTIONAL"),AND(F35="BOTH_EQUAL_REVIEW_REQUIRED",G35="PROHIBITED")),"CHECK","OK"))</x:f>
        <x:v>OK</x:v>
      </x:c>
    </x:row>
    <x:row r="36" ht="14.75">
      <x:c r="A36" s="28">
        <x:v>32</x:v>
      </x:c>
      <x:c r="B36" s="29" t="s">
        <x:v>126</x:v>
      </x:c>
      <x:c r="C36" s="30" t="s">
        <x:v>127</x:v>
      </x:c>
      <x:c r="D36" s="30" t="s">
        <x:v>127</x:v>
      </x:c>
      <x:c r="E36" s="31" t="s">
        <x:v>63</x:v>
      </x:c>
      <x:c r="F36" s="31" t="s">
        <x:v>64</x:v>
      </x:c>
      <x:c r="G36" s="31" t="s">
        <x:v>65</x:v>
      </x:c>
      <x:c r="H36" s="31" t="s">
        <x:v>53</x:v>
      </x:c>
      <x:c r="I36" s="31" t="s">
        <x:v>122</x:v>
      </x:c>
      <x:c r="J36" s="32" t="str">
        <x:f t="shared" si="0">IF(AND(E36&lt;&gt;"",F36&lt;&gt;"",G36&lt;&gt;"",H36&lt;&gt;"",I36&lt;&gt;""),"COMPLETE","PENDING")</x:f>
        <x:v>COMPLETE</x:v>
      </x:c>
      <x:c r="K36" s="33" t="str">
        <x:f t="shared" si="1">IF(J36&lt;&gt;"COMPLETE","",IF(OR(AND(F36="DEVANAGARI_TARGET_REQUIRED",G36&lt;&gt;"REQUIRED"),AND(F36="NO_TRANSLITERATION_ALLOWED",G36&lt;&gt;"PROHIBITED"),AND(F36="LATIN_IDENTITY_PREFERRED_TARGET_OPTIONAL",G36&lt;&gt;"OPTIONAL"),AND(F36="BOTH_EQUAL_REVIEW_REQUIRED",G36="PROHIBITED")),"CHECK","OK"))</x:f>
        <x:v>OK</x:v>
      </x:c>
    </x:row>
    <x:row r="37" ht="14.75">
      <x:c r="A37" s="28">
        <x:v>33</x:v>
      </x:c>
      <x:c r="B37" s="29" t="s">
        <x:v>128</x:v>
      </x:c>
      <x:c r="C37" s="30" t="s">
        <x:v>129</x:v>
      </x:c>
      <x:c r="D37" s="30" t="s">
        <x:v>129</x:v>
      </x:c>
      <x:c r="E37" s="31" t="s">
        <x:v>63</x:v>
      </x:c>
      <x:c r="F37" s="31" t="s">
        <x:v>64</x:v>
      </x:c>
      <x:c r="G37" s="31" t="s">
        <x:v>65</x:v>
      </x:c>
      <x:c r="H37" s="31" t="s">
        <x:v>53</x:v>
      </x:c>
      <x:c r="I37" s="31" t="s">
        <x:v>66</x:v>
      </x:c>
      <x:c r="J37" s="32" t="str">
        <x:f t="shared" ref="J37:J68" si="2">IF(AND(E37&lt;&gt;"",F37&lt;&gt;"",G37&lt;&gt;"",H37&lt;&gt;"",I37&lt;&gt;""),"COMPLETE","PENDING")</x:f>
        <x:v>COMPLETE</x:v>
      </x:c>
      <x:c r="K37" s="33" t="str">
        <x:f t="shared" ref="K37:K68" si="3">IF(J37&lt;&gt;"COMPLETE","",IF(OR(AND(F37="DEVANAGARI_TARGET_REQUIRED",G37&lt;&gt;"REQUIRED"),AND(F37="NO_TRANSLITERATION_ALLOWED",G37&lt;&gt;"PROHIBITED"),AND(F37="LATIN_IDENTITY_PREFERRED_TARGET_OPTIONAL",G37&lt;&gt;"OPTIONAL"),AND(F37="BOTH_EQUAL_REVIEW_REQUIRED",G37="PROHIBITED")),"CHECK","OK"))</x:f>
        <x:v>OK</x:v>
      </x:c>
    </x:row>
    <x:row r="38" ht="14.75">
      <x:c r="A38" s="28">
        <x:v>34</x:v>
      </x:c>
      <x:c r="B38" s="29" t="s">
        <x:v>130</x:v>
      </x:c>
      <x:c r="C38" s="30" t="s">
        <x:v>131</x:v>
      </x:c>
      <x:c r="D38" s="30" t="s">
        <x:v>131</x:v>
      </x:c>
      <x:c r="E38" s="31" t="s">
        <x:v>63</x:v>
      </x:c>
      <x:c r="F38" s="31" t="s">
        <x:v>64</x:v>
      </x:c>
      <x:c r="G38" s="31" t="s">
        <x:v>65</x:v>
      </x:c>
      <x:c r="H38" s="31" t="s">
        <x:v>53</x:v>
      </x:c>
      <x:c r="I38" s="31" t="s">
        <x:v>66</x:v>
      </x:c>
      <x:c r="J38" s="32" t="str">
        <x:f t="shared" si="2">IF(AND(E38&lt;&gt;"",F38&lt;&gt;"",G38&lt;&gt;"",H38&lt;&gt;"",I38&lt;&gt;""),"COMPLETE","PENDING")</x:f>
        <x:v>COMPLETE</x:v>
      </x:c>
      <x:c r="K38" s="33" t="str">
        <x:f t="shared" si="3">IF(J38&lt;&gt;"COMPLETE","",IF(OR(AND(F38="DEVANAGARI_TARGET_REQUIRED",G38&lt;&gt;"REQUIRED"),AND(F38="NO_TRANSLITERATION_ALLOWED",G38&lt;&gt;"PROHIBITED"),AND(F38="LATIN_IDENTITY_PREFERRED_TARGET_OPTIONAL",G38&lt;&gt;"OPTIONAL"),AND(F38="BOTH_EQUAL_REVIEW_REQUIRED",G38="PROHIBITED")),"CHECK","OK"))</x:f>
        <x:v>OK</x:v>
      </x:c>
    </x:row>
    <x:row r="39" ht="29.5">
      <x:c r="A39" s="28">
        <x:v>35</x:v>
      </x:c>
      <x:c r="B39" s="29" t="s">
        <x:v>132</x:v>
      </x:c>
      <x:c r="C39" s="30" t="s">
        <x:v>133</x:v>
      </x:c>
      <x:c r="D39" s="30" t="s">
        <x:v>133</x:v>
      </x:c>
      <x:c r="E39" s="31" t="s">
        <x:v>50</x:v>
      </x:c>
      <x:c r="F39" s="31" t="s">
        <x:v>51</x:v>
      </x:c>
      <x:c r="G39" s="31" t="s">
        <x:v>52</x:v>
      </x:c>
      <x:c r="H39" s="31" t="s">
        <x:v>53</x:v>
      </x:c>
      <x:c r="I39" s="31" t="s">
        <x:v>73</x:v>
      </x:c>
      <x:c r="J39" s="32" t="str">
        <x:f t="shared" si="2">IF(AND(E39&lt;&gt;"",F39&lt;&gt;"",G39&lt;&gt;"",H39&lt;&gt;"",I39&lt;&gt;""),"COMPLETE","PENDING")</x:f>
        <x:v>COMPLETE</x:v>
      </x:c>
      <x:c r="K39" s="33" t="str">
        <x:f t="shared" si="3">IF(J39&lt;&gt;"COMPLETE","",IF(OR(AND(F39="DEVANAGARI_TARGET_REQUIRED",G39&lt;&gt;"REQUIRED"),AND(F39="NO_TRANSLITERATION_ALLOWED",G39&lt;&gt;"PROHIBITED"),AND(F39="LATIN_IDENTITY_PREFERRED_TARGET_OPTIONAL",G39&lt;&gt;"OPTIONAL"),AND(F39="BOTH_EQUAL_REVIEW_REQUIRED",G39="PROHIBITED")),"CHECK","OK"))</x:f>
        <x:v>OK</x:v>
      </x:c>
    </x:row>
    <x:row r="40" ht="29.5">
      <x:c r="A40" s="28">
        <x:v>36</x:v>
      </x:c>
      <x:c r="B40" s="29" t="s">
        <x:v>134</x:v>
      </x:c>
      <x:c r="C40" s="30" t="s">
        <x:v>135</x:v>
      </x:c>
      <x:c r="D40" s="30" t="s">
        <x:v>135</x:v>
      </x:c>
      <x:c r="E40" s="31" t="s">
        <x:v>50</x:v>
      </x:c>
      <x:c r="F40" s="31" t="s">
        <x:v>51</x:v>
      </x:c>
      <x:c r="G40" s="31" t="s">
        <x:v>52</x:v>
      </x:c>
      <x:c r="H40" s="31" t="s">
        <x:v>53</x:v>
      </x:c>
      <x:c r="I40" s="31" t="s">
        <x:v>73</x:v>
      </x:c>
      <x:c r="J40" s="32" t="str">
        <x:f t="shared" si="2">IF(AND(E40&lt;&gt;"",F40&lt;&gt;"",G40&lt;&gt;"",H40&lt;&gt;"",I40&lt;&gt;""),"COMPLETE","PENDING")</x:f>
        <x:v>COMPLETE</x:v>
      </x:c>
      <x:c r="K40" s="33" t="str">
        <x:f t="shared" si="3">IF(J40&lt;&gt;"COMPLETE","",IF(OR(AND(F40="DEVANAGARI_TARGET_REQUIRED",G40&lt;&gt;"REQUIRED"),AND(F40="NO_TRANSLITERATION_ALLOWED",G40&lt;&gt;"PROHIBITED"),AND(F40="LATIN_IDENTITY_PREFERRED_TARGET_OPTIONAL",G40&lt;&gt;"OPTIONAL"),AND(F40="BOTH_EQUAL_REVIEW_REQUIRED",G40="PROHIBITED")),"CHECK","OK"))</x:f>
        <x:v>OK</x:v>
      </x:c>
    </x:row>
    <x:row r="41" ht="29.5">
      <x:c r="A41" s="28">
        <x:v>37</x:v>
      </x:c>
      <x:c r="B41" s="29" t="s">
        <x:v>136</x:v>
      </x:c>
      <x:c r="C41" s="30" t="s">
        <x:v>137</x:v>
      </x:c>
      <x:c r="D41" s="30" t="s">
        <x:v>137</x:v>
      </x:c>
      <x:c r="E41" s="31" t="s">
        <x:v>50</x:v>
      </x:c>
      <x:c r="F41" s="31" t="s">
        <x:v>51</x:v>
      </x:c>
      <x:c r="G41" s="31" t="s">
        <x:v>52</x:v>
      </x:c>
      <x:c r="H41" s="31" t="s">
        <x:v>53</x:v>
      </x:c>
      <x:c r="I41" s="31" t="s">
        <x:v>73</x:v>
      </x:c>
      <x:c r="J41" s="32" t="str">
        <x:f t="shared" si="2">IF(AND(E41&lt;&gt;"",F41&lt;&gt;"",G41&lt;&gt;"",H41&lt;&gt;"",I41&lt;&gt;""),"COMPLETE","PENDING")</x:f>
        <x:v>COMPLETE</x:v>
      </x:c>
      <x:c r="K41" s="33" t="str">
        <x:f t="shared" si="3">IF(J41&lt;&gt;"COMPLETE","",IF(OR(AND(F41="DEVANAGARI_TARGET_REQUIRED",G41&lt;&gt;"REQUIRED"),AND(F41="NO_TRANSLITERATION_ALLOWED",G41&lt;&gt;"PROHIBITED"),AND(F41="LATIN_IDENTITY_PREFERRED_TARGET_OPTIONAL",G41&lt;&gt;"OPTIONAL"),AND(F41="BOTH_EQUAL_REVIEW_REQUIRED",G41="PROHIBITED")),"CHECK","OK"))</x:f>
        <x:v>OK</x:v>
      </x:c>
    </x:row>
    <x:row r="42" ht="14.75">
      <x:c r="A42" s="28">
        <x:v>38</x:v>
      </x:c>
      <x:c r="B42" s="29" t="s">
        <x:v>138</x:v>
      </x:c>
      <x:c r="C42" s="30" t="s">
        <x:v>139</x:v>
      </x:c>
      <x:c r="D42" s="30" t="s">
        <x:v>139</x:v>
      </x:c>
      <x:c r="E42" s="31" t="s">
        <x:v>63</x:v>
      </x:c>
      <x:c r="F42" s="31" t="s">
        <x:v>64</x:v>
      </x:c>
      <x:c r="G42" s="31" t="s">
        <x:v>65</x:v>
      </x:c>
      <x:c r="H42" s="31" t="s">
        <x:v>53</x:v>
      </x:c>
      <x:c r="I42" s="31" t="s">
        <x:v>66</x:v>
      </x:c>
      <x:c r="J42" s="32" t="str">
        <x:f t="shared" si="2">IF(AND(E42&lt;&gt;"",F42&lt;&gt;"",G42&lt;&gt;"",H42&lt;&gt;"",I42&lt;&gt;""),"COMPLETE","PENDING")</x:f>
        <x:v>COMPLETE</x:v>
      </x:c>
      <x:c r="K42" s="33" t="str">
        <x:f t="shared" si="3">IF(J42&lt;&gt;"COMPLETE","",IF(OR(AND(F42="DEVANAGARI_TARGET_REQUIRED",G42&lt;&gt;"REQUIRED"),AND(F42="NO_TRANSLITERATION_ALLOWED",G42&lt;&gt;"PROHIBITED"),AND(F42="LATIN_IDENTITY_PREFERRED_TARGET_OPTIONAL",G42&lt;&gt;"OPTIONAL"),AND(F42="BOTH_EQUAL_REVIEW_REQUIRED",G42="PROHIBITED")),"CHECK","OK"))</x:f>
        <x:v>OK</x:v>
      </x:c>
    </x:row>
    <x:row r="43" ht="14.75">
      <x:c r="A43" s="28">
        <x:v>39</x:v>
      </x:c>
      <x:c r="B43" s="29" t="s">
        <x:v>140</x:v>
      </x:c>
      <x:c r="C43" s="30" t="s">
        <x:v>141</x:v>
      </x:c>
      <x:c r="D43" s="30" t="s">
        <x:v>141</x:v>
      </x:c>
      <x:c r="E43" s="31" t="s">
        <x:v>63</x:v>
      </x:c>
      <x:c r="F43" s="31" t="s">
        <x:v>64</x:v>
      </x:c>
      <x:c r="G43" s="31" t="s">
        <x:v>65</x:v>
      </x:c>
      <x:c r="H43" s="31" t="s">
        <x:v>53</x:v>
      </x:c>
      <x:c r="I43" s="31" t="s">
        <x:v>122</x:v>
      </x:c>
      <x:c r="J43" s="32" t="str">
        <x:f t="shared" si="2">IF(AND(E43&lt;&gt;"",F43&lt;&gt;"",G43&lt;&gt;"",H43&lt;&gt;"",I43&lt;&gt;""),"COMPLETE","PENDING")</x:f>
        <x:v>COMPLETE</x:v>
      </x:c>
      <x:c r="K43" s="33" t="str">
        <x:f t="shared" si="3">IF(J43&lt;&gt;"COMPLETE","",IF(OR(AND(F43="DEVANAGARI_TARGET_REQUIRED",G43&lt;&gt;"REQUIRED"),AND(F43="NO_TRANSLITERATION_ALLOWED",G43&lt;&gt;"PROHIBITED"),AND(F43="LATIN_IDENTITY_PREFERRED_TARGET_OPTIONAL",G43&lt;&gt;"OPTIONAL"),AND(F43="BOTH_EQUAL_REVIEW_REQUIRED",G43="PROHIBITED")),"CHECK","OK"))</x:f>
        <x:v>OK</x:v>
      </x:c>
    </x:row>
    <x:row r="44" ht="14.75">
      <x:c r="A44" s="28">
        <x:v>40</x:v>
      </x:c>
      <x:c r="B44" s="29" t="s">
        <x:v>142</x:v>
      </x:c>
      <x:c r="C44" s="30" t="s">
        <x:v>143</x:v>
      </x:c>
      <x:c r="D44" s="30" t="s">
        <x:v>143</x:v>
      </x:c>
      <x:c r="E44" s="31" t="s">
        <x:v>63</x:v>
      </x:c>
      <x:c r="F44" s="31" t="s">
        <x:v>64</x:v>
      </x:c>
      <x:c r="G44" s="31" t="s">
        <x:v>65</x:v>
      </x:c>
      <x:c r="H44" s="31" t="s">
        <x:v>53</x:v>
      </x:c>
      <x:c r="I44" s="31" t="s">
        <x:v>66</x:v>
      </x:c>
      <x:c r="J44" s="32" t="str">
        <x:f t="shared" si="2">IF(AND(E44&lt;&gt;"",F44&lt;&gt;"",G44&lt;&gt;"",H44&lt;&gt;"",I44&lt;&gt;""),"COMPLETE","PENDING")</x:f>
        <x:v>COMPLETE</x:v>
      </x:c>
      <x:c r="K44" s="33" t="str">
        <x:f t="shared" si="3">IF(J44&lt;&gt;"COMPLETE","",IF(OR(AND(F44="DEVANAGARI_TARGET_REQUIRED",G44&lt;&gt;"REQUIRED"),AND(F44="NO_TRANSLITERATION_ALLOWED",G44&lt;&gt;"PROHIBITED"),AND(F44="LATIN_IDENTITY_PREFERRED_TARGET_OPTIONAL",G44&lt;&gt;"OPTIONAL"),AND(F44="BOTH_EQUAL_REVIEW_REQUIRED",G44="PROHIBITED")),"CHECK","OK"))</x:f>
        <x:v>OK</x:v>
      </x:c>
    </x:row>
    <x:row r="45" ht="29.5">
      <x:c r="A45" s="28">
        <x:v>41</x:v>
      </x:c>
      <x:c r="B45" s="29" t="s">
        <x:v>144</x:v>
      </x:c>
      <x:c r="C45" s="30" t="s">
        <x:v>145</x:v>
      </x:c>
      <x:c r="D45" s="30" t="s">
        <x:v>145</x:v>
      </x:c>
      <x:c r="E45" s="31" t="s">
        <x:v>50</x:v>
      </x:c>
      <x:c r="F45" s="31" t="s">
        <x:v>51</x:v>
      </x:c>
      <x:c r="G45" s="31" t="s">
        <x:v>52</x:v>
      </x:c>
      <x:c r="H45" s="31" t="s">
        <x:v>53</x:v>
      </x:c>
      <x:c r="I45" s="31" t="s">
        <x:v>73</x:v>
      </x:c>
      <x:c r="J45" s="32" t="str">
        <x:f t="shared" si="2">IF(AND(E45&lt;&gt;"",F45&lt;&gt;"",G45&lt;&gt;"",H45&lt;&gt;"",I45&lt;&gt;""),"COMPLETE","PENDING")</x:f>
        <x:v>COMPLETE</x:v>
      </x:c>
      <x:c r="K45" s="33" t="str">
        <x:f t="shared" si="3">IF(J45&lt;&gt;"COMPLETE","",IF(OR(AND(F45="DEVANAGARI_TARGET_REQUIRED",G45&lt;&gt;"REQUIRED"),AND(F45="NO_TRANSLITERATION_ALLOWED",G45&lt;&gt;"PROHIBITED"),AND(F45="LATIN_IDENTITY_PREFERRED_TARGET_OPTIONAL",G45&lt;&gt;"OPTIONAL"),AND(F45="BOTH_EQUAL_REVIEW_REQUIRED",G45="PROHIBITED")),"CHECK","OK"))</x:f>
        <x:v>OK</x:v>
      </x:c>
    </x:row>
    <x:row r="46" ht="14.75">
      <x:c r="A46" s="28">
        <x:v>42</x:v>
      </x:c>
      <x:c r="B46" s="29" t="s">
        <x:v>146</x:v>
      </x:c>
      <x:c r="C46" s="30" t="s">
        <x:v>147</x:v>
      </x:c>
      <x:c r="D46" s="30" t="s">
        <x:v>147</x:v>
      </x:c>
      <x:c r="E46" s="31" t="s">
        <x:v>63</x:v>
      </x:c>
      <x:c r="F46" s="31" t="s">
        <x:v>64</x:v>
      </x:c>
      <x:c r="G46" s="31" t="s">
        <x:v>65</x:v>
      </x:c>
      <x:c r="H46" s="31" t="s">
        <x:v>53</x:v>
      </x:c>
      <x:c r="I46" s="31" t="s">
        <x:v>66</x:v>
      </x:c>
      <x:c r="J46" s="32" t="str">
        <x:f t="shared" si="2">IF(AND(E46&lt;&gt;"",F46&lt;&gt;"",G46&lt;&gt;"",H46&lt;&gt;"",I46&lt;&gt;""),"COMPLETE","PENDING")</x:f>
        <x:v>COMPLETE</x:v>
      </x:c>
      <x:c r="K46" s="33" t="str">
        <x:f t="shared" si="3">IF(J46&lt;&gt;"COMPLETE","",IF(OR(AND(F46="DEVANAGARI_TARGET_REQUIRED",G46&lt;&gt;"REQUIRED"),AND(F46="NO_TRANSLITERATION_ALLOWED",G46&lt;&gt;"PROHIBITED"),AND(F46="LATIN_IDENTITY_PREFERRED_TARGET_OPTIONAL",G46&lt;&gt;"OPTIONAL"),AND(F46="BOTH_EQUAL_REVIEW_REQUIRED",G46="PROHIBITED")),"CHECK","OK"))</x:f>
        <x:v>OK</x:v>
      </x:c>
    </x:row>
    <x:row r="47" ht="14.75">
      <x:c r="A47" s="28">
        <x:v>43</x:v>
      </x:c>
      <x:c r="B47" s="29" t="s">
        <x:v>148</x:v>
      </x:c>
      <x:c r="C47" s="30" t="s">
        <x:v>149</x:v>
      </x:c>
      <x:c r="D47" s="30" t="s">
        <x:v>149</x:v>
      </x:c>
      <x:c r="E47" s="31" t="s">
        <x:v>63</x:v>
      </x:c>
      <x:c r="F47" s="31" t="s">
        <x:v>64</x:v>
      </x:c>
      <x:c r="G47" s="31" t="s">
        <x:v>65</x:v>
      </x:c>
      <x:c r="H47" s="31" t="s">
        <x:v>53</x:v>
      </x:c>
      <x:c r="I47" s="31" t="s">
        <x:v>66</x:v>
      </x:c>
      <x:c r="J47" s="32" t="str">
        <x:f t="shared" si="2">IF(AND(E47&lt;&gt;"",F47&lt;&gt;"",G47&lt;&gt;"",H47&lt;&gt;"",I47&lt;&gt;""),"COMPLETE","PENDING")</x:f>
        <x:v>COMPLETE</x:v>
      </x:c>
      <x:c r="K47" s="33" t="str">
        <x:f t="shared" si="3">IF(J47&lt;&gt;"COMPLETE","",IF(OR(AND(F47="DEVANAGARI_TARGET_REQUIRED",G47&lt;&gt;"REQUIRED"),AND(F47="NO_TRANSLITERATION_ALLOWED",G47&lt;&gt;"PROHIBITED"),AND(F47="LATIN_IDENTITY_PREFERRED_TARGET_OPTIONAL",G47&lt;&gt;"OPTIONAL"),AND(F47="BOTH_EQUAL_REVIEW_REQUIRED",G47="PROHIBITED")),"CHECK","OK"))</x:f>
        <x:v>OK</x:v>
      </x:c>
    </x:row>
    <x:row r="48" ht="29.5">
      <x:c r="A48" s="28">
        <x:v>44</x:v>
      </x:c>
      <x:c r="B48" s="29" t="s">
        <x:v>150</x:v>
      </x:c>
      <x:c r="C48" s="30" t="s">
        <x:v>151</x:v>
      </x:c>
      <x:c r="D48" s="30" t="s">
        <x:v>124</x:v>
      </x:c>
      <x:c r="E48" s="31" t="s">
        <x:v>63</x:v>
      </x:c>
      <x:c r="F48" s="31" t="s">
        <x:v>64</x:v>
      </x:c>
      <x:c r="G48" s="31" t="s">
        <x:v>65</x:v>
      </x:c>
      <x:c r="H48" s="31" t="s">
        <x:v>53</x:v>
      </x:c>
      <x:c r="I48" s="31" t="s">
        <x:v>152</x:v>
      </x:c>
      <x:c r="J48" s="32" t="str">
        <x:f t="shared" si="2">IF(AND(E48&lt;&gt;"",F48&lt;&gt;"",G48&lt;&gt;"",H48&lt;&gt;"",I48&lt;&gt;""),"COMPLETE","PENDING")</x:f>
        <x:v>COMPLETE</x:v>
      </x:c>
      <x:c r="K48" s="33" t="str">
        <x:f t="shared" si="3">IF(J48&lt;&gt;"COMPLETE","",IF(OR(AND(F48="DEVANAGARI_TARGET_REQUIRED",G48&lt;&gt;"REQUIRED"),AND(F48="NO_TRANSLITERATION_ALLOWED",G48&lt;&gt;"PROHIBITED"),AND(F48="LATIN_IDENTITY_PREFERRED_TARGET_OPTIONAL",G48&lt;&gt;"OPTIONAL"),AND(F48="BOTH_EQUAL_REVIEW_REQUIRED",G48="PROHIBITED")),"CHECK","OK"))</x:f>
        <x:v>OK</x:v>
      </x:c>
    </x:row>
    <x:row r="49" ht="29.5">
      <x:c r="A49" s="28">
        <x:v>45</x:v>
      </x:c>
      <x:c r="B49" s="29" t="s">
        <x:v>153</x:v>
      </x:c>
      <x:c r="C49" s="30" t="s">
        <x:v>112</x:v>
      </x:c>
      <x:c r="D49" s="30" t="s">
        <x:v>112</x:v>
      </x:c>
      <x:c r="E49" s="31" t="s">
        <x:v>57</x:v>
      </x:c>
      <x:c r="F49" s="31" t="s">
        <x:v>58</x:v>
      </x:c>
      <x:c r="G49" s="31" t="s">
        <x:v>58</x:v>
      </x:c>
      <x:c r="H49" s="31" t="s">
        <x:v>59</x:v>
      </x:c>
      <x:c r="I49" s="31" t="s">
        <x:v>75</x:v>
      </x:c>
      <x:c r="J49" s="32" t="str">
        <x:f t="shared" si="2">IF(AND(E49&lt;&gt;"",F49&lt;&gt;"",G49&lt;&gt;"",H49&lt;&gt;"",I49&lt;&gt;""),"COMPLETE","PENDING")</x:f>
        <x:v>COMPLETE</x:v>
      </x:c>
      <x:c r="K49" s="33" t="str">
        <x:f t="shared" si="3">IF(J49&lt;&gt;"COMPLETE","",IF(OR(AND(F49="DEVANAGARI_TARGET_REQUIRED",G49&lt;&gt;"REQUIRED"),AND(F49="NO_TRANSLITERATION_ALLOWED",G49&lt;&gt;"PROHIBITED"),AND(F49="LATIN_IDENTITY_PREFERRED_TARGET_OPTIONAL",G49&lt;&gt;"OPTIONAL"),AND(F49="BOTH_EQUAL_REVIEW_REQUIRED",G49="PROHIBITED")),"CHECK","OK"))</x:f>
        <x:v>OK</x:v>
      </x:c>
    </x:row>
    <x:row r="50" ht="14.75">
      <x:c r="A50" s="28">
        <x:v>46</x:v>
      </x:c>
      <x:c r="B50" s="29" t="s">
        <x:v>154</x:v>
      </x:c>
      <x:c r="C50" s="30" t="s">
        <x:v>155</x:v>
      </x:c>
      <x:c r="D50" s="30" t="s">
        <x:v>155</x:v>
      </x:c>
      <x:c r="E50" s="31" t="s">
        <x:v>63</x:v>
      </x:c>
      <x:c r="F50" s="31" t="s">
        <x:v>64</x:v>
      </x:c>
      <x:c r="G50" s="31" t="s">
        <x:v>65</x:v>
      </x:c>
      <x:c r="H50" s="31" t="s">
        <x:v>53</x:v>
      </x:c>
      <x:c r="I50" s="31" t="s">
        <x:v>156</x:v>
      </x:c>
      <x:c r="J50" s="32" t="str">
        <x:f t="shared" si="2">IF(AND(E50&lt;&gt;"",F50&lt;&gt;"",G50&lt;&gt;"",H50&lt;&gt;"",I50&lt;&gt;""),"COMPLETE","PENDING")</x:f>
        <x:v>COMPLETE</x:v>
      </x:c>
      <x:c r="K50" s="33" t="str">
        <x:f t="shared" si="3">IF(J50&lt;&gt;"COMPLETE","",IF(OR(AND(F50="DEVANAGARI_TARGET_REQUIRED",G50&lt;&gt;"REQUIRED"),AND(F50="NO_TRANSLITERATION_ALLOWED",G50&lt;&gt;"PROHIBITED"),AND(F50="LATIN_IDENTITY_PREFERRED_TARGET_OPTIONAL",G50&lt;&gt;"OPTIONAL"),AND(F50="BOTH_EQUAL_REVIEW_REQUIRED",G50="PROHIBITED")),"CHECK","OK"))</x:f>
        <x:v>OK</x:v>
      </x:c>
    </x:row>
    <x:row r="51" ht="14.75">
      <x:c r="A51" s="28">
        <x:v>47</x:v>
      </x:c>
      <x:c r="B51" s="29" t="s">
        <x:v>157</x:v>
      </x:c>
      <x:c r="C51" s="30" t="s">
        <x:v>158</x:v>
      </x:c>
      <x:c r="D51" s="30" t="s">
        <x:v>158</x:v>
      </x:c>
      <x:c r="E51" s="31" t="s">
        <x:v>63</x:v>
      </x:c>
      <x:c r="F51" s="31" t="s">
        <x:v>64</x:v>
      </x:c>
      <x:c r="G51" s="31" t="s">
        <x:v>65</x:v>
      </x:c>
      <x:c r="H51" s="31" t="s">
        <x:v>53</x:v>
      </x:c>
      <x:c r="I51" s="31" t="s">
        <x:v>152</x:v>
      </x:c>
      <x:c r="J51" s="32" t="str">
        <x:f t="shared" si="2">IF(AND(E51&lt;&gt;"",F51&lt;&gt;"",G51&lt;&gt;"",H51&lt;&gt;"",I51&lt;&gt;""),"COMPLETE","PENDING")</x:f>
        <x:v>COMPLETE</x:v>
      </x:c>
      <x:c r="K51" s="33" t="str">
        <x:f t="shared" si="3">IF(J51&lt;&gt;"COMPLETE","",IF(OR(AND(F51="DEVANAGARI_TARGET_REQUIRED",G51&lt;&gt;"REQUIRED"),AND(F51="NO_TRANSLITERATION_ALLOWED",G51&lt;&gt;"PROHIBITED"),AND(F51="LATIN_IDENTITY_PREFERRED_TARGET_OPTIONAL",G51&lt;&gt;"OPTIONAL"),AND(F51="BOTH_EQUAL_REVIEW_REQUIRED",G51="PROHIBITED")),"CHECK","OK"))</x:f>
        <x:v>OK</x:v>
      </x:c>
    </x:row>
    <x:row r="52" ht="29.5">
      <x:c r="A52" s="28">
        <x:v>48</x:v>
      </x:c>
      <x:c r="B52" s="29" t="s">
        <x:v>159</x:v>
      </x:c>
      <x:c r="C52" s="30" t="s">
        <x:v>160</x:v>
      </x:c>
      <x:c r="D52" s="30" t="s">
        <x:v>160</x:v>
      </x:c>
      <x:c r="E52" s="31" t="s">
        <x:v>50</x:v>
      </x:c>
      <x:c r="F52" s="31" t="s">
        <x:v>51</x:v>
      </x:c>
      <x:c r="G52" s="31" t="s">
        <x:v>52</x:v>
      </x:c>
      <x:c r="H52" s="31" t="s">
        <x:v>53</x:v>
      </x:c>
      <x:c r="I52" s="31" t="s">
        <x:v>73</x:v>
      </x:c>
      <x:c r="J52" s="32" t="str">
        <x:f t="shared" si="2">IF(AND(E52&lt;&gt;"",F52&lt;&gt;"",G52&lt;&gt;"",H52&lt;&gt;"",I52&lt;&gt;""),"COMPLETE","PENDING")</x:f>
        <x:v>COMPLETE</x:v>
      </x:c>
      <x:c r="K52" s="33" t="str">
        <x:f t="shared" si="3">IF(J52&lt;&gt;"COMPLETE","",IF(OR(AND(F52="DEVANAGARI_TARGET_REQUIRED",G52&lt;&gt;"REQUIRED"),AND(F52="NO_TRANSLITERATION_ALLOWED",G52&lt;&gt;"PROHIBITED"),AND(F52="LATIN_IDENTITY_PREFERRED_TARGET_OPTIONAL",G52&lt;&gt;"OPTIONAL"),AND(F52="BOTH_EQUAL_REVIEW_REQUIRED",G52="PROHIBITED")),"CHECK","OK"))</x:f>
        <x:v>OK</x:v>
      </x:c>
    </x:row>
    <x:row r="53" ht="29.5">
      <x:c r="A53" s="28">
        <x:v>49</x:v>
      </x:c>
      <x:c r="B53" s="29" t="s">
        <x:v>161</x:v>
      </x:c>
      <x:c r="C53" s="30" t="s">
        <x:v>162</x:v>
      </x:c>
      <x:c r="D53" s="30" t="s">
        <x:v>162</x:v>
      </x:c>
      <x:c r="E53" s="31" t="s">
        <x:v>50</x:v>
      </x:c>
      <x:c r="F53" s="31" t="s">
        <x:v>51</x:v>
      </x:c>
      <x:c r="G53" s="31" t="s">
        <x:v>52</x:v>
      </x:c>
      <x:c r="H53" s="31" t="s">
        <x:v>53</x:v>
      </x:c>
      <x:c r="I53" s="31" t="s">
        <x:v>73</x:v>
      </x:c>
      <x:c r="J53" s="32" t="str">
        <x:f t="shared" si="2">IF(AND(E53&lt;&gt;"",F53&lt;&gt;"",G53&lt;&gt;"",H53&lt;&gt;"",I53&lt;&gt;""),"COMPLETE","PENDING")</x:f>
        <x:v>COMPLETE</x:v>
      </x:c>
      <x:c r="K53" s="33" t="str">
        <x:f t="shared" si="3">IF(J53&lt;&gt;"COMPLETE","",IF(OR(AND(F53="DEVANAGARI_TARGET_REQUIRED",G53&lt;&gt;"REQUIRED"),AND(F53="NO_TRANSLITERATION_ALLOWED",G53&lt;&gt;"PROHIBITED"),AND(F53="LATIN_IDENTITY_PREFERRED_TARGET_OPTIONAL",G53&lt;&gt;"OPTIONAL"),AND(F53="BOTH_EQUAL_REVIEW_REQUIRED",G53="PROHIBITED")),"CHECK","OK"))</x:f>
        <x:v>OK</x:v>
      </x:c>
    </x:row>
    <x:row r="54" ht="14.75">
      <x:c r="A54" s="28">
        <x:v>50</x:v>
      </x:c>
      <x:c r="B54" s="29" t="s">
        <x:v>163</x:v>
      </x:c>
      <x:c r="C54" s="30" t="s">
        <x:v>164</x:v>
      </x:c>
      <x:c r="D54" s="30" t="s">
        <x:v>164</x:v>
      </x:c>
      <x:c r="E54" s="31" t="s">
        <x:v>63</x:v>
      </x:c>
      <x:c r="F54" s="31" t="s">
        <x:v>64</x:v>
      </x:c>
      <x:c r="G54" s="31" t="s">
        <x:v>65</x:v>
      </x:c>
      <x:c r="H54" s="31" t="s">
        <x:v>53</x:v>
      </x:c>
      <x:c r="I54" s="31" t="s">
        <x:v>66</x:v>
      </x:c>
      <x:c r="J54" s="32" t="str">
        <x:f t="shared" si="2">IF(AND(E54&lt;&gt;"",F54&lt;&gt;"",G54&lt;&gt;"",H54&lt;&gt;"",I54&lt;&gt;""),"COMPLETE","PENDING")</x:f>
        <x:v>COMPLETE</x:v>
      </x:c>
      <x:c r="K54" s="33" t="str">
        <x:f t="shared" si="3">IF(J54&lt;&gt;"COMPLETE","",IF(OR(AND(F54="DEVANAGARI_TARGET_REQUIRED",G54&lt;&gt;"REQUIRED"),AND(F54="NO_TRANSLITERATION_ALLOWED",G54&lt;&gt;"PROHIBITED"),AND(F54="LATIN_IDENTITY_PREFERRED_TARGET_OPTIONAL",G54&lt;&gt;"OPTIONAL"),AND(F54="BOTH_EQUAL_REVIEW_REQUIRED",G54="PROHIBITED")),"CHECK","OK"))</x:f>
        <x:v>OK</x:v>
      </x:c>
    </x:row>
    <x:row r="55" ht="14.75">
      <x:c r="A55" s="28">
        <x:v>51</x:v>
      </x:c>
      <x:c r="B55" s="29" t="s">
        <x:v>165</x:v>
      </x:c>
      <x:c r="C55" s="30" t="s">
        <x:v>166</x:v>
      </x:c>
      <x:c r="D55" s="30" t="s">
        <x:v>166</x:v>
      </x:c>
      <x:c r="E55" s="31" t="s">
        <x:v>63</x:v>
      </x:c>
      <x:c r="F55" s="31" t="s">
        <x:v>64</x:v>
      </x:c>
      <x:c r="G55" s="31" t="s">
        <x:v>65</x:v>
      </x:c>
      <x:c r="H55" s="31" t="s">
        <x:v>53</x:v>
      </x:c>
      <x:c r="I55" s="31" t="s">
        <x:v>66</x:v>
      </x:c>
      <x:c r="J55" s="32" t="str">
        <x:f t="shared" si="2">IF(AND(E55&lt;&gt;"",F55&lt;&gt;"",G55&lt;&gt;"",H55&lt;&gt;"",I55&lt;&gt;""),"COMPLETE","PENDING")</x:f>
        <x:v>COMPLETE</x:v>
      </x:c>
      <x:c r="K55" s="33" t="str">
        <x:f t="shared" si="3">IF(J55&lt;&gt;"COMPLETE","",IF(OR(AND(F55="DEVANAGARI_TARGET_REQUIRED",G55&lt;&gt;"REQUIRED"),AND(F55="NO_TRANSLITERATION_ALLOWED",G55&lt;&gt;"PROHIBITED"),AND(F55="LATIN_IDENTITY_PREFERRED_TARGET_OPTIONAL",G55&lt;&gt;"OPTIONAL"),AND(F55="BOTH_EQUAL_REVIEW_REQUIRED",G55="PROHIBITED")),"CHECK","OK"))</x:f>
        <x:v>OK</x:v>
      </x:c>
    </x:row>
    <x:row r="56" ht="29.5">
      <x:c r="A56" s="28">
        <x:v>52</x:v>
      </x:c>
      <x:c r="B56" s="29" t="s">
        <x:v>167</x:v>
      </x:c>
      <x:c r="C56" s="30" t="s">
        <x:v>168</x:v>
      </x:c>
      <x:c r="D56" s="30" t="s">
        <x:v>168</x:v>
      </x:c>
      <x:c r="E56" s="31" t="s">
        <x:v>50</x:v>
      </x:c>
      <x:c r="F56" s="31" t="s">
        <x:v>51</x:v>
      </x:c>
      <x:c r="G56" s="31" t="s">
        <x:v>52</x:v>
      </x:c>
      <x:c r="H56" s="31" t="s">
        <x:v>53</x:v>
      </x:c>
      <x:c r="I56" s="31" t="s">
        <x:v>73</x:v>
      </x:c>
      <x:c r="J56" s="32" t="str">
        <x:f t="shared" si="2">IF(AND(E56&lt;&gt;"",F56&lt;&gt;"",G56&lt;&gt;"",H56&lt;&gt;"",I56&lt;&gt;""),"COMPLETE","PENDING")</x:f>
        <x:v>COMPLETE</x:v>
      </x:c>
      <x:c r="K56" s="33" t="str">
        <x:f t="shared" si="3">IF(J56&lt;&gt;"COMPLETE","",IF(OR(AND(F56="DEVANAGARI_TARGET_REQUIRED",G56&lt;&gt;"REQUIRED"),AND(F56="NO_TRANSLITERATION_ALLOWED",G56&lt;&gt;"PROHIBITED"),AND(F56="LATIN_IDENTITY_PREFERRED_TARGET_OPTIONAL",G56&lt;&gt;"OPTIONAL"),AND(F56="BOTH_EQUAL_REVIEW_REQUIRED",G56="PROHIBITED")),"CHECK","OK"))</x:f>
        <x:v>OK</x:v>
      </x:c>
    </x:row>
    <x:row r="57" ht="29.5">
      <x:c r="A57" s="28">
        <x:v>53</x:v>
      </x:c>
      <x:c r="B57" s="29" t="s">
        <x:v>169</x:v>
      </x:c>
      <x:c r="C57" s="30" t="s">
        <x:v>170</x:v>
      </x:c>
      <x:c r="D57" s="30" t="s">
        <x:v>170</x:v>
      </x:c>
      <x:c r="E57" s="31" t="s">
        <x:v>50</x:v>
      </x:c>
      <x:c r="F57" s="31" t="s">
        <x:v>51</x:v>
      </x:c>
      <x:c r="G57" s="31" t="s">
        <x:v>52</x:v>
      </x:c>
      <x:c r="H57" s="31" t="s">
        <x:v>53</x:v>
      </x:c>
      <x:c r="I57" s="31" t="s">
        <x:v>73</x:v>
      </x:c>
      <x:c r="J57" s="32" t="str">
        <x:f t="shared" si="2">IF(AND(E57&lt;&gt;"",F57&lt;&gt;"",G57&lt;&gt;"",H57&lt;&gt;"",I57&lt;&gt;""),"COMPLETE","PENDING")</x:f>
        <x:v>COMPLETE</x:v>
      </x:c>
      <x:c r="K57" s="33" t="str">
        <x:f t="shared" si="3">IF(J57&lt;&gt;"COMPLETE","",IF(OR(AND(F57="DEVANAGARI_TARGET_REQUIRED",G57&lt;&gt;"REQUIRED"),AND(F57="NO_TRANSLITERATION_ALLOWED",G57&lt;&gt;"PROHIBITED"),AND(F57="LATIN_IDENTITY_PREFERRED_TARGET_OPTIONAL",G57&lt;&gt;"OPTIONAL"),AND(F57="BOTH_EQUAL_REVIEW_REQUIRED",G57="PROHIBITED")),"CHECK","OK"))</x:f>
        <x:v>OK</x:v>
      </x:c>
    </x:row>
    <x:row r="58" ht="29.5">
      <x:c r="A58" s="28">
        <x:v>54</x:v>
      </x:c>
      <x:c r="B58" s="29" t="s">
        <x:v>171</x:v>
      </x:c>
      <x:c r="C58" s="30" t="s">
        <x:v>172</x:v>
      </x:c>
      <x:c r="D58" s="30" t="s">
        <x:v>172</x:v>
      </x:c>
      <x:c r="E58" s="31" t="s">
        <x:v>50</x:v>
      </x:c>
      <x:c r="F58" s="31" t="s">
        <x:v>51</x:v>
      </x:c>
      <x:c r="G58" s="31" t="s">
        <x:v>52</x:v>
      </x:c>
      <x:c r="H58" s="31" t="s">
        <x:v>53</x:v>
      </x:c>
      <x:c r="I58" s="31" t="s">
        <x:v>73</x:v>
      </x:c>
      <x:c r="J58" s="32" t="str">
        <x:f t="shared" si="2">IF(AND(E58&lt;&gt;"",F58&lt;&gt;"",G58&lt;&gt;"",H58&lt;&gt;"",I58&lt;&gt;""),"COMPLETE","PENDING")</x:f>
        <x:v>COMPLETE</x:v>
      </x:c>
      <x:c r="K58" s="33" t="str">
        <x:f t="shared" si="3">IF(J58&lt;&gt;"COMPLETE","",IF(OR(AND(F58="DEVANAGARI_TARGET_REQUIRED",G58&lt;&gt;"REQUIRED"),AND(F58="NO_TRANSLITERATION_ALLOWED",G58&lt;&gt;"PROHIBITED"),AND(F58="LATIN_IDENTITY_PREFERRED_TARGET_OPTIONAL",G58&lt;&gt;"OPTIONAL"),AND(F58="BOTH_EQUAL_REVIEW_REQUIRED",G58="PROHIBITED")),"CHECK","OK"))</x:f>
        <x:v>OK</x:v>
      </x:c>
    </x:row>
    <x:row r="59" ht="29.5">
      <x:c r="A59" s="28">
        <x:v>55</x:v>
      </x:c>
      <x:c r="B59" s="29" t="s">
        <x:v>173</x:v>
      </x:c>
      <x:c r="C59" s="30" t="s">
        <x:v>174</x:v>
      </x:c>
      <x:c r="D59" s="30" t="s">
        <x:v>174</x:v>
      </x:c>
      <x:c r="E59" s="31" t="s">
        <x:v>50</x:v>
      </x:c>
      <x:c r="F59" s="31" t="s">
        <x:v>51</x:v>
      </x:c>
      <x:c r="G59" s="31" t="s">
        <x:v>52</x:v>
      </x:c>
      <x:c r="H59" s="31" t="s">
        <x:v>53</x:v>
      </x:c>
      <x:c r="I59" s="31" t="s">
        <x:v>73</x:v>
      </x:c>
      <x:c r="J59" s="32" t="str">
        <x:f t="shared" si="2">IF(AND(E59&lt;&gt;"",F59&lt;&gt;"",G59&lt;&gt;"",H59&lt;&gt;"",I59&lt;&gt;""),"COMPLETE","PENDING")</x:f>
        <x:v>COMPLETE</x:v>
      </x:c>
      <x:c r="K59" s="33" t="str">
        <x:f t="shared" si="3">IF(J59&lt;&gt;"COMPLETE","",IF(OR(AND(F59="DEVANAGARI_TARGET_REQUIRED",G59&lt;&gt;"REQUIRED"),AND(F59="NO_TRANSLITERATION_ALLOWED",G59&lt;&gt;"PROHIBITED"),AND(F59="LATIN_IDENTITY_PREFERRED_TARGET_OPTIONAL",G59&lt;&gt;"OPTIONAL"),AND(F59="BOTH_EQUAL_REVIEW_REQUIRED",G59="PROHIBITED")),"CHECK","OK"))</x:f>
        <x:v>OK</x:v>
      </x:c>
    </x:row>
    <x:row r="60" ht="29.5">
      <x:c r="A60" s="28">
        <x:v>56</x:v>
      </x:c>
      <x:c r="B60" s="29" t="s">
        <x:v>175</x:v>
      </x:c>
      <x:c r="C60" s="30" t="s">
        <x:v>176</x:v>
      </x:c>
      <x:c r="D60" s="30" t="s">
        <x:v>176</x:v>
      </x:c>
      <x:c r="E60" s="31" t="s">
        <x:v>50</x:v>
      </x:c>
      <x:c r="F60" s="31" t="s">
        <x:v>51</x:v>
      </x:c>
      <x:c r="G60" s="31" t="s">
        <x:v>52</x:v>
      </x:c>
      <x:c r="H60" s="31" t="s">
        <x:v>53</x:v>
      </x:c>
      <x:c r="I60" s="31" t="s">
        <x:v>73</x:v>
      </x:c>
      <x:c r="J60" s="32" t="str">
        <x:f t="shared" si="2">IF(AND(E60&lt;&gt;"",F60&lt;&gt;"",G60&lt;&gt;"",H60&lt;&gt;"",I60&lt;&gt;""),"COMPLETE","PENDING")</x:f>
        <x:v>COMPLETE</x:v>
      </x:c>
      <x:c r="K60" s="33" t="str">
        <x:f t="shared" si="3">IF(J60&lt;&gt;"COMPLETE","",IF(OR(AND(F60="DEVANAGARI_TARGET_REQUIRED",G60&lt;&gt;"REQUIRED"),AND(F60="NO_TRANSLITERATION_ALLOWED",G60&lt;&gt;"PROHIBITED"),AND(F60="LATIN_IDENTITY_PREFERRED_TARGET_OPTIONAL",G60&lt;&gt;"OPTIONAL"),AND(F60="BOTH_EQUAL_REVIEW_REQUIRED",G60="PROHIBITED")),"CHECK","OK"))</x:f>
        <x:v>OK</x:v>
      </x:c>
    </x:row>
    <x:row r="61" ht="29.5">
      <x:c r="A61" s="28">
        <x:v>57</x:v>
      </x:c>
      <x:c r="B61" s="29" t="s">
        <x:v>177</x:v>
      </x:c>
      <x:c r="C61" s="30" t="s">
        <x:v>178</x:v>
      </x:c>
      <x:c r="D61" s="30" t="s">
        <x:v>178</x:v>
      </x:c>
      <x:c r="E61" s="31" t="s">
        <x:v>50</x:v>
      </x:c>
      <x:c r="F61" s="31" t="s">
        <x:v>51</x:v>
      </x:c>
      <x:c r="G61" s="31" t="s">
        <x:v>52</x:v>
      </x:c>
      <x:c r="H61" s="31" t="s">
        <x:v>53</x:v>
      </x:c>
      <x:c r="I61" s="31" t="s">
        <x:v>73</x:v>
      </x:c>
      <x:c r="J61" s="32" t="str">
        <x:f t="shared" si="2">IF(AND(E61&lt;&gt;"",F61&lt;&gt;"",G61&lt;&gt;"",H61&lt;&gt;"",I61&lt;&gt;""),"COMPLETE","PENDING")</x:f>
        <x:v>COMPLETE</x:v>
      </x:c>
      <x:c r="K61" s="33" t="str">
        <x:f t="shared" si="3">IF(J61&lt;&gt;"COMPLETE","",IF(OR(AND(F61="DEVANAGARI_TARGET_REQUIRED",G61&lt;&gt;"REQUIRED"),AND(F61="NO_TRANSLITERATION_ALLOWED",G61&lt;&gt;"PROHIBITED"),AND(F61="LATIN_IDENTITY_PREFERRED_TARGET_OPTIONAL",G61&lt;&gt;"OPTIONAL"),AND(F61="BOTH_EQUAL_REVIEW_REQUIRED",G61="PROHIBITED")),"CHECK","OK"))</x:f>
        <x:v>OK</x:v>
      </x:c>
    </x:row>
    <x:row r="62" ht="29.5">
      <x:c r="A62" s="28">
        <x:v>58</x:v>
      </x:c>
      <x:c r="B62" s="29" t="s">
        <x:v>179</x:v>
      </x:c>
      <x:c r="C62" s="30" t="s">
        <x:v>180</x:v>
      </x:c>
      <x:c r="D62" s="30" t="s">
        <x:v>180</x:v>
      </x:c>
      <x:c r="E62" s="31" t="s">
        <x:v>50</x:v>
      </x:c>
      <x:c r="F62" s="31" t="s">
        <x:v>51</x:v>
      </x:c>
      <x:c r="G62" s="31" t="s">
        <x:v>52</x:v>
      </x:c>
      <x:c r="H62" s="31" t="s">
        <x:v>53</x:v>
      </x:c>
      <x:c r="I62" s="31" t="s">
        <x:v>73</x:v>
      </x:c>
      <x:c r="J62" s="32" t="str">
        <x:f t="shared" si="2">IF(AND(E62&lt;&gt;"",F62&lt;&gt;"",G62&lt;&gt;"",H62&lt;&gt;"",I62&lt;&gt;""),"COMPLETE","PENDING")</x:f>
        <x:v>COMPLETE</x:v>
      </x:c>
      <x:c r="K62" s="33" t="str">
        <x:f t="shared" si="3">IF(J62&lt;&gt;"COMPLETE","",IF(OR(AND(F62="DEVANAGARI_TARGET_REQUIRED",G62&lt;&gt;"REQUIRED"),AND(F62="NO_TRANSLITERATION_ALLOWED",G62&lt;&gt;"PROHIBITED"),AND(F62="LATIN_IDENTITY_PREFERRED_TARGET_OPTIONAL",G62&lt;&gt;"OPTIONAL"),AND(F62="BOTH_EQUAL_REVIEW_REQUIRED",G62="PROHIBITED")),"CHECK","OK"))</x:f>
        <x:v>OK</x:v>
      </x:c>
    </x:row>
    <x:row r="63" ht="14.75">
      <x:c r="A63" s="28">
        <x:v>59</x:v>
      </x:c>
      <x:c r="B63" s="29" t="s">
        <x:v>181</x:v>
      </x:c>
      <x:c r="C63" s="30" t="s">
        <x:v>182</x:v>
      </x:c>
      <x:c r="D63" s="30" t="s">
        <x:v>182</x:v>
      </x:c>
      <x:c r="E63" s="31" t="s">
        <x:v>63</x:v>
      </x:c>
      <x:c r="F63" s="31" t="s">
        <x:v>64</x:v>
      </x:c>
      <x:c r="G63" s="31" t="s">
        <x:v>65</x:v>
      </x:c>
      <x:c r="H63" s="31" t="s">
        <x:v>53</x:v>
      </x:c>
      <x:c r="I63" s="31" t="s">
        <x:v>66</x:v>
      </x:c>
      <x:c r="J63" s="32" t="str">
        <x:f t="shared" si="2">IF(AND(E63&lt;&gt;"",F63&lt;&gt;"",G63&lt;&gt;"",H63&lt;&gt;"",I63&lt;&gt;""),"COMPLETE","PENDING")</x:f>
        <x:v>COMPLETE</x:v>
      </x:c>
      <x:c r="K63" s="33" t="str">
        <x:f t="shared" si="3">IF(J63&lt;&gt;"COMPLETE","",IF(OR(AND(F63="DEVANAGARI_TARGET_REQUIRED",G63&lt;&gt;"REQUIRED"),AND(F63="NO_TRANSLITERATION_ALLOWED",G63&lt;&gt;"PROHIBITED"),AND(F63="LATIN_IDENTITY_PREFERRED_TARGET_OPTIONAL",G63&lt;&gt;"OPTIONAL"),AND(F63="BOTH_EQUAL_REVIEW_REQUIRED",G63="PROHIBITED")),"CHECK","OK"))</x:f>
        <x:v>OK</x:v>
      </x:c>
    </x:row>
    <x:row r="64" ht="14.75">
      <x:c r="A64" s="28">
        <x:v>60</x:v>
      </x:c>
      <x:c r="B64" s="29" t="s">
        <x:v>183</x:v>
      </x:c>
      <x:c r="C64" s="30" t="s">
        <x:v>184</x:v>
      </x:c>
      <x:c r="D64" s="30" t="s">
        <x:v>184</x:v>
      </x:c>
      <x:c r="E64" s="31" t="s">
        <x:v>63</x:v>
      </x:c>
      <x:c r="F64" s="31" t="s">
        <x:v>64</x:v>
      </x:c>
      <x:c r="G64" s="31" t="s">
        <x:v>65</x:v>
      </x:c>
      <x:c r="H64" s="31" t="s">
        <x:v>53</x:v>
      </x:c>
      <x:c r="I64" s="31" t="s">
        <x:v>152</x:v>
      </x:c>
      <x:c r="J64" s="32" t="str">
        <x:f t="shared" si="2">IF(AND(E64&lt;&gt;"",F64&lt;&gt;"",G64&lt;&gt;"",H64&lt;&gt;"",I64&lt;&gt;""),"COMPLETE","PENDING")</x:f>
        <x:v>COMPLETE</x:v>
      </x:c>
      <x:c r="K64" s="33" t="str">
        <x:f t="shared" si="3">IF(J64&lt;&gt;"COMPLETE","",IF(OR(AND(F64="DEVANAGARI_TARGET_REQUIRED",G64&lt;&gt;"REQUIRED"),AND(F64="NO_TRANSLITERATION_ALLOWED",G64&lt;&gt;"PROHIBITED"),AND(F64="LATIN_IDENTITY_PREFERRED_TARGET_OPTIONAL",G64&lt;&gt;"OPTIONAL"),AND(F64="BOTH_EQUAL_REVIEW_REQUIRED",G64="PROHIBITED")),"CHECK","OK"))</x:f>
        <x:v>OK</x:v>
      </x:c>
    </x:row>
    <x:row r="65" ht="29.5">
      <x:c r="A65" s="28">
        <x:v>61</x:v>
      </x:c>
      <x:c r="B65" s="29" t="s">
        <x:v>185</x:v>
      </x:c>
      <x:c r="C65" s="30" t="s">
        <x:v>151</x:v>
      </x:c>
      <x:c r="D65" s="30" t="s">
        <x:v>124</x:v>
      </x:c>
      <x:c r="E65" s="31" t="s">
        <x:v>63</x:v>
      </x:c>
      <x:c r="F65" s="31" t="s">
        <x:v>64</x:v>
      </x:c>
      <x:c r="G65" s="31" t="s">
        <x:v>65</x:v>
      </x:c>
      <x:c r="H65" s="31" t="s">
        <x:v>53</x:v>
      </x:c>
      <x:c r="I65" s="31" t="s">
        <x:v>152</x:v>
      </x:c>
      <x:c r="J65" s="32" t="str">
        <x:f t="shared" si="2">IF(AND(E65&lt;&gt;"",F65&lt;&gt;"",G65&lt;&gt;"",H65&lt;&gt;"",I65&lt;&gt;""),"COMPLETE","PENDING")</x:f>
        <x:v>COMPLETE</x:v>
      </x:c>
      <x:c r="K65" s="33" t="str">
        <x:f t="shared" si="3">IF(J65&lt;&gt;"COMPLETE","",IF(OR(AND(F65="DEVANAGARI_TARGET_REQUIRED",G65&lt;&gt;"REQUIRED"),AND(F65="NO_TRANSLITERATION_ALLOWED",G65&lt;&gt;"PROHIBITED"),AND(F65="LATIN_IDENTITY_PREFERRED_TARGET_OPTIONAL",G65&lt;&gt;"OPTIONAL"),AND(F65="BOTH_EQUAL_REVIEW_REQUIRED",G65="PROHIBITED")),"CHECK","OK"))</x:f>
        <x:v>OK</x:v>
      </x:c>
    </x:row>
    <x:row r="66" ht="29.5">
      <x:c r="A66" s="28">
        <x:v>62</x:v>
      </x:c>
      <x:c r="B66" s="29" t="s">
        <x:v>186</x:v>
      </x:c>
      <x:c r="C66" s="30" t="s">
        <x:v>151</x:v>
      </x:c>
      <x:c r="D66" s="30" t="s">
        <x:v>124</x:v>
      </x:c>
      <x:c r="E66" s="31" t="s">
        <x:v>63</x:v>
      </x:c>
      <x:c r="F66" s="31" t="s">
        <x:v>64</x:v>
      </x:c>
      <x:c r="G66" s="31" t="s">
        <x:v>65</x:v>
      </x:c>
      <x:c r="H66" s="31" t="s">
        <x:v>53</x:v>
      </x:c>
      <x:c r="I66" s="31" t="s">
        <x:v>187</x:v>
      </x:c>
      <x:c r="J66" s="32" t="str">
        <x:f t="shared" si="2">IF(AND(E66&lt;&gt;"",F66&lt;&gt;"",G66&lt;&gt;"",H66&lt;&gt;"",I66&lt;&gt;""),"COMPLETE","PENDING")</x:f>
        <x:v>COMPLETE</x:v>
      </x:c>
      <x:c r="K66" s="33" t="str">
        <x:f t="shared" si="3">IF(J66&lt;&gt;"COMPLETE","",IF(OR(AND(F66="DEVANAGARI_TARGET_REQUIRED",G66&lt;&gt;"REQUIRED"),AND(F66="NO_TRANSLITERATION_ALLOWED",G66&lt;&gt;"PROHIBITED"),AND(F66="LATIN_IDENTITY_PREFERRED_TARGET_OPTIONAL",G66&lt;&gt;"OPTIONAL"),AND(F66="BOTH_EQUAL_REVIEW_REQUIRED",G66="PROHIBITED")),"CHECK","OK"))</x:f>
        <x:v>OK</x:v>
      </x:c>
    </x:row>
    <x:row r="67" ht="29.5">
      <x:c r="A67" s="28">
        <x:v>63</x:v>
      </x:c>
      <x:c r="B67" s="29" t="s">
        <x:v>188</x:v>
      </x:c>
      <x:c r="C67" s="30" t="s">
        <x:v>189</x:v>
      </x:c>
      <x:c r="D67" s="30" t="s">
        <x:v>189</x:v>
      </x:c>
      <x:c r="E67" s="31" t="s">
        <x:v>50</x:v>
      </x:c>
      <x:c r="F67" s="31" t="s">
        <x:v>51</x:v>
      </x:c>
      <x:c r="G67" s="31" t="s">
        <x:v>52</x:v>
      </x:c>
      <x:c r="H67" s="31" t="s">
        <x:v>53</x:v>
      </x:c>
      <x:c r="I67" s="31" t="s">
        <x:v>73</x:v>
      </x:c>
      <x:c r="J67" s="32" t="str">
        <x:f t="shared" si="2">IF(AND(E67&lt;&gt;"",F67&lt;&gt;"",G67&lt;&gt;"",H67&lt;&gt;"",I67&lt;&gt;""),"COMPLETE","PENDING")</x:f>
        <x:v>COMPLETE</x:v>
      </x:c>
      <x:c r="K67" s="33" t="str">
        <x:f t="shared" si="3">IF(J67&lt;&gt;"COMPLETE","",IF(OR(AND(F67="DEVANAGARI_TARGET_REQUIRED",G67&lt;&gt;"REQUIRED"),AND(F67="NO_TRANSLITERATION_ALLOWED",G67&lt;&gt;"PROHIBITED"),AND(F67="LATIN_IDENTITY_PREFERRED_TARGET_OPTIONAL",G67&lt;&gt;"OPTIONAL"),AND(F67="BOTH_EQUAL_REVIEW_REQUIRED",G67="PROHIBITED")),"CHECK","OK"))</x:f>
        <x:v>OK</x:v>
      </x:c>
    </x:row>
    <x:row r="68" ht="14.75">
      <x:c r="A68" s="28">
        <x:v>64</x:v>
      </x:c>
      <x:c r="B68" s="29" t="s">
        <x:v>190</x:v>
      </x:c>
      <x:c r="C68" s="30" t="s">
        <x:v>191</x:v>
      </x:c>
      <x:c r="D68" s="30" t="s">
        <x:v>191</x:v>
      </x:c>
      <x:c r="E68" s="31" t="s">
        <x:v>63</x:v>
      </x:c>
      <x:c r="F68" s="31" t="s">
        <x:v>64</x:v>
      </x:c>
      <x:c r="G68" s="31" t="s">
        <x:v>65</x:v>
      </x:c>
      <x:c r="H68" s="31" t="s">
        <x:v>53</x:v>
      </x:c>
      <x:c r="I68" s="31" t="s">
        <x:v>66</x:v>
      </x:c>
      <x:c r="J68" s="32" t="str">
        <x:f t="shared" si="2">IF(AND(E68&lt;&gt;"",F68&lt;&gt;"",G68&lt;&gt;"",H68&lt;&gt;"",I68&lt;&gt;""),"COMPLETE","PENDING")</x:f>
        <x:v>COMPLETE</x:v>
      </x:c>
      <x:c r="K68" s="33" t="str">
        <x:f t="shared" si="3">IF(J68&lt;&gt;"COMPLETE","",IF(OR(AND(F68="DEVANAGARI_TARGET_REQUIRED",G68&lt;&gt;"REQUIRED"),AND(F68="NO_TRANSLITERATION_ALLOWED",G68&lt;&gt;"PROHIBITED"),AND(F68="LATIN_IDENTITY_PREFERRED_TARGET_OPTIONAL",G68&lt;&gt;"OPTIONAL"),AND(F68="BOTH_EQUAL_REVIEW_REQUIRED",G68="PROHIBITED")),"CHECK","OK"))</x:f>
        <x:v>OK</x:v>
      </x:c>
    </x:row>
    <x:row r="69" ht="29.5">
      <x:c r="A69" s="28">
        <x:v>65</x:v>
      </x:c>
      <x:c r="B69" s="29" t="s">
        <x:v>192</x:v>
      </x:c>
      <x:c r="C69" s="30" t="s">
        <x:v>114</x:v>
      </x:c>
      <x:c r="D69" s="30" t="s">
        <x:v>114</x:v>
      </x:c>
      <x:c r="E69" s="31" t="s">
        <x:v>57</x:v>
      </x:c>
      <x:c r="F69" s="31" t="s">
        <x:v>58</x:v>
      </x:c>
      <x:c r="G69" s="31" t="s">
        <x:v>58</x:v>
      </x:c>
      <x:c r="H69" s="31" t="s">
        <x:v>59</x:v>
      </x:c>
      <x:c r="I69" s="31" t="s">
        <x:v>75</x:v>
      </x:c>
      <x:c r="J69" s="32" t="str">
        <x:f t="shared" ref="J69:J100" si="4">IF(AND(E69&lt;&gt;"",F69&lt;&gt;"",G69&lt;&gt;"",H69&lt;&gt;"",I69&lt;&gt;""),"COMPLETE","PENDING")</x:f>
        <x:v>COMPLETE</x:v>
      </x:c>
      <x:c r="K69" s="33" t="str">
        <x:f t="shared" ref="K69:K100" si="5">IF(J69&lt;&gt;"COMPLETE","",IF(OR(AND(F69="DEVANAGARI_TARGET_REQUIRED",G69&lt;&gt;"REQUIRED"),AND(F69="NO_TRANSLITERATION_ALLOWED",G69&lt;&gt;"PROHIBITED"),AND(F69="LATIN_IDENTITY_PREFERRED_TARGET_OPTIONAL",G69&lt;&gt;"OPTIONAL"),AND(F69="BOTH_EQUAL_REVIEW_REQUIRED",G69="PROHIBITED")),"CHECK","OK"))</x:f>
        <x:v>OK</x:v>
      </x:c>
    </x:row>
    <x:row r="70" ht="29.5">
      <x:c r="A70" s="28">
        <x:v>66</x:v>
      </x:c>
      <x:c r="B70" s="29" t="s">
        <x:v>193</x:v>
      </x:c>
      <x:c r="C70" s="30" t="s">
        <x:v>81</x:v>
      </x:c>
      <x:c r="D70" s="30" t="s">
        <x:v>81</x:v>
      </x:c>
      <x:c r="E70" s="31" t="s">
        <x:v>57</x:v>
      </x:c>
      <x:c r="F70" s="31" t="s">
        <x:v>58</x:v>
      </x:c>
      <x:c r="G70" s="31" t="s">
        <x:v>58</x:v>
      </x:c>
      <x:c r="H70" s="31" t="s">
        <x:v>59</x:v>
      </x:c>
      <x:c r="I70" s="31" t="s">
        <x:v>75</x:v>
      </x:c>
      <x:c r="J70" s="32" t="str">
        <x:f t="shared" si="4">IF(AND(E70&lt;&gt;"",F70&lt;&gt;"",G70&lt;&gt;"",H70&lt;&gt;"",I70&lt;&gt;""),"COMPLETE","PENDING")</x:f>
        <x:v>COMPLETE</x:v>
      </x:c>
      <x:c r="K70" s="33" t="str">
        <x:f t="shared" si="5">IF(J70&lt;&gt;"COMPLETE","",IF(OR(AND(F70="DEVANAGARI_TARGET_REQUIRED",G70&lt;&gt;"REQUIRED"),AND(F70="NO_TRANSLITERATION_ALLOWED",G70&lt;&gt;"PROHIBITED"),AND(F70="LATIN_IDENTITY_PREFERRED_TARGET_OPTIONAL",G70&lt;&gt;"OPTIONAL"),AND(F70="BOTH_EQUAL_REVIEW_REQUIRED",G70="PROHIBITED")),"CHECK","OK"))</x:f>
        <x:v>OK</x:v>
      </x:c>
    </x:row>
    <x:row r="71" ht="29.5">
      <x:c r="A71" s="28">
        <x:v>67</x:v>
      </x:c>
      <x:c r="B71" s="29" t="s">
        <x:v>194</x:v>
      </x:c>
      <x:c r="C71" s="30" t="s">
        <x:v>195</x:v>
      </x:c>
      <x:c r="D71" s="30" t="s">
        <x:v>195</x:v>
      </x:c>
      <x:c r="E71" s="31" t="s">
        <x:v>50</x:v>
      </x:c>
      <x:c r="F71" s="31" t="s">
        <x:v>51</x:v>
      </x:c>
      <x:c r="G71" s="31" t="s">
        <x:v>52</x:v>
      </x:c>
      <x:c r="H71" s="31" t="s">
        <x:v>53</x:v>
      </x:c>
      <x:c r="I71" s="31" t="s">
        <x:v>73</x:v>
      </x:c>
      <x:c r="J71" s="32" t="str">
        <x:f t="shared" si="4">IF(AND(E71&lt;&gt;"",F71&lt;&gt;"",G71&lt;&gt;"",H71&lt;&gt;"",I71&lt;&gt;""),"COMPLETE","PENDING")</x:f>
        <x:v>COMPLETE</x:v>
      </x:c>
      <x:c r="K71" s="33" t="str">
        <x:f t="shared" si="5">IF(J71&lt;&gt;"COMPLETE","",IF(OR(AND(F71="DEVANAGARI_TARGET_REQUIRED",G71&lt;&gt;"REQUIRED"),AND(F71="NO_TRANSLITERATION_ALLOWED",G71&lt;&gt;"PROHIBITED"),AND(F71="LATIN_IDENTITY_PREFERRED_TARGET_OPTIONAL",G71&lt;&gt;"OPTIONAL"),AND(F71="BOTH_EQUAL_REVIEW_REQUIRED",G71="PROHIBITED")),"CHECK","OK"))</x:f>
        <x:v>OK</x:v>
      </x:c>
    </x:row>
    <x:row r="72" ht="29.5">
      <x:c r="A72" s="28">
        <x:v>68</x:v>
      </x:c>
      <x:c r="B72" s="29" t="s">
        <x:v>196</x:v>
      </x:c>
      <x:c r="C72" s="30" t="s">
        <x:v>197</x:v>
      </x:c>
      <x:c r="D72" s="30" t="s">
        <x:v>197</x:v>
      </x:c>
      <x:c r="E72" s="31" t="s">
        <x:v>50</x:v>
      </x:c>
      <x:c r="F72" s="31" t="s">
        <x:v>51</x:v>
      </x:c>
      <x:c r="G72" s="31" t="s">
        <x:v>52</x:v>
      </x:c>
      <x:c r="H72" s="31" t="s">
        <x:v>53</x:v>
      </x:c>
      <x:c r="I72" s="31" t="s">
        <x:v>73</x:v>
      </x:c>
      <x:c r="J72" s="32" t="str">
        <x:f t="shared" si="4">IF(AND(E72&lt;&gt;"",F72&lt;&gt;"",G72&lt;&gt;"",H72&lt;&gt;"",I72&lt;&gt;""),"COMPLETE","PENDING")</x:f>
        <x:v>COMPLETE</x:v>
      </x:c>
      <x:c r="K72" s="33" t="str">
        <x:f t="shared" si="5">IF(J72&lt;&gt;"COMPLETE","",IF(OR(AND(F72="DEVANAGARI_TARGET_REQUIRED",G72&lt;&gt;"REQUIRED"),AND(F72="NO_TRANSLITERATION_ALLOWED",G72&lt;&gt;"PROHIBITED"),AND(F72="LATIN_IDENTITY_PREFERRED_TARGET_OPTIONAL",G72&lt;&gt;"OPTIONAL"),AND(F72="BOTH_EQUAL_REVIEW_REQUIRED",G72="PROHIBITED")),"CHECK","OK"))</x:f>
        <x:v>OK</x:v>
      </x:c>
    </x:row>
    <x:row r="73" ht="29.5">
      <x:c r="A73" s="28">
        <x:v>69</x:v>
      </x:c>
      <x:c r="B73" s="29" t="s">
        <x:v>198</x:v>
      </x:c>
      <x:c r="C73" s="30" t="s">
        <x:v>199</x:v>
      </x:c>
      <x:c r="D73" s="30" t="s">
        <x:v>199</x:v>
      </x:c>
      <x:c r="E73" s="31" t="s">
        <x:v>50</x:v>
      </x:c>
      <x:c r="F73" s="31" t="s">
        <x:v>51</x:v>
      </x:c>
      <x:c r="G73" s="31" t="s">
        <x:v>52</x:v>
      </x:c>
      <x:c r="H73" s="31" t="s">
        <x:v>53</x:v>
      </x:c>
      <x:c r="I73" s="31" t="s">
        <x:v>73</x:v>
      </x:c>
      <x:c r="J73" s="32" t="str">
        <x:f t="shared" si="4">IF(AND(E73&lt;&gt;"",F73&lt;&gt;"",G73&lt;&gt;"",H73&lt;&gt;"",I73&lt;&gt;""),"COMPLETE","PENDING")</x:f>
        <x:v>COMPLETE</x:v>
      </x:c>
      <x:c r="K73" s="33" t="str">
        <x:f t="shared" si="5">IF(J73&lt;&gt;"COMPLETE","",IF(OR(AND(F73="DEVANAGARI_TARGET_REQUIRED",G73&lt;&gt;"REQUIRED"),AND(F73="NO_TRANSLITERATION_ALLOWED",G73&lt;&gt;"PROHIBITED"),AND(F73="LATIN_IDENTITY_PREFERRED_TARGET_OPTIONAL",G73&lt;&gt;"OPTIONAL"),AND(F73="BOTH_EQUAL_REVIEW_REQUIRED",G73="PROHIBITED")),"CHECK","OK"))</x:f>
        <x:v>OK</x:v>
      </x:c>
    </x:row>
    <x:row r="74" ht="29.5">
      <x:c r="A74" s="28">
        <x:v>70</x:v>
      </x:c>
      <x:c r="B74" s="29" t="s">
        <x:v>200</x:v>
      </x:c>
      <x:c r="C74" s="30" t="s">
        <x:v>94</x:v>
      </x:c>
      <x:c r="D74" s="30" t="s">
        <x:v>94</x:v>
      </x:c>
      <x:c r="E74" s="31" t="s">
        <x:v>50</x:v>
      </x:c>
      <x:c r="F74" s="31" t="s">
        <x:v>51</x:v>
      </x:c>
      <x:c r="G74" s="31" t="s">
        <x:v>52</x:v>
      </x:c>
      <x:c r="H74" s="31" t="s">
        <x:v>53</x:v>
      </x:c>
      <x:c r="I74" s="31" t="s">
        <x:v>73</x:v>
      </x:c>
      <x:c r="J74" s="32" t="str">
        <x:f t="shared" si="4">IF(AND(E74&lt;&gt;"",F74&lt;&gt;"",G74&lt;&gt;"",H74&lt;&gt;"",I74&lt;&gt;""),"COMPLETE","PENDING")</x:f>
        <x:v>COMPLETE</x:v>
      </x:c>
      <x:c r="K74" s="33" t="str">
        <x:f t="shared" si="5">IF(J74&lt;&gt;"COMPLETE","",IF(OR(AND(F74="DEVANAGARI_TARGET_REQUIRED",G74&lt;&gt;"REQUIRED"),AND(F74="NO_TRANSLITERATION_ALLOWED",G74&lt;&gt;"PROHIBITED"),AND(F74="LATIN_IDENTITY_PREFERRED_TARGET_OPTIONAL",G74&lt;&gt;"OPTIONAL"),AND(F74="BOTH_EQUAL_REVIEW_REQUIRED",G74="PROHIBITED")),"CHECK","OK"))</x:f>
        <x:v>OK</x:v>
      </x:c>
    </x:row>
    <x:row r="75" ht="14.75">
      <x:c r="A75" s="28">
        <x:v>71</x:v>
      </x:c>
      <x:c r="B75" s="29" t="s">
        <x:v>201</x:v>
      </x:c>
      <x:c r="C75" s="30" t="s">
        <x:v>202</x:v>
      </x:c>
      <x:c r="D75" s="30" t="s">
        <x:v>202</x:v>
      </x:c>
      <x:c r="E75" s="31" t="s">
        <x:v>63</x:v>
      </x:c>
      <x:c r="F75" s="31" t="s">
        <x:v>64</x:v>
      </x:c>
      <x:c r="G75" s="31" t="s">
        <x:v>65</x:v>
      </x:c>
      <x:c r="H75" s="31" t="s">
        <x:v>53</x:v>
      </x:c>
      <x:c r="I75" s="31" t="s">
        <x:v>66</x:v>
      </x:c>
      <x:c r="J75" s="32" t="str">
        <x:f t="shared" si="4">IF(AND(E75&lt;&gt;"",F75&lt;&gt;"",G75&lt;&gt;"",H75&lt;&gt;"",I75&lt;&gt;""),"COMPLETE","PENDING")</x:f>
        <x:v>COMPLETE</x:v>
      </x:c>
      <x:c r="K75" s="33" t="str">
        <x:f t="shared" si="5">IF(J75&lt;&gt;"COMPLETE","",IF(OR(AND(F75="DEVANAGARI_TARGET_REQUIRED",G75&lt;&gt;"REQUIRED"),AND(F75="NO_TRANSLITERATION_ALLOWED",G75&lt;&gt;"PROHIBITED"),AND(F75="LATIN_IDENTITY_PREFERRED_TARGET_OPTIONAL",G75&lt;&gt;"OPTIONAL"),AND(F75="BOTH_EQUAL_REVIEW_REQUIRED",G75="PROHIBITED")),"CHECK","OK"))</x:f>
        <x:v>OK</x:v>
      </x:c>
    </x:row>
    <x:row r="76" ht="29.5">
      <x:c r="A76" s="28">
        <x:v>72</x:v>
      </x:c>
      <x:c r="B76" s="29" t="s">
        <x:v>203</x:v>
      </x:c>
      <x:c r="C76" s="30" t="s">
        <x:v>108</x:v>
      </x:c>
      <x:c r="D76" s="30" t="s">
        <x:v>108</x:v>
      </x:c>
      <x:c r="E76" s="31" t="s">
        <x:v>50</x:v>
      </x:c>
      <x:c r="F76" s="31" t="s">
        <x:v>51</x:v>
      </x:c>
      <x:c r="G76" s="31" t="s">
        <x:v>52</x:v>
      </x:c>
      <x:c r="H76" s="31" t="s">
        <x:v>53</x:v>
      </x:c>
      <x:c r="I76" s="31" t="s">
        <x:v>73</x:v>
      </x:c>
      <x:c r="J76" s="32" t="str">
        <x:f t="shared" si="4">IF(AND(E76&lt;&gt;"",F76&lt;&gt;"",G76&lt;&gt;"",H76&lt;&gt;"",I76&lt;&gt;""),"COMPLETE","PENDING")</x:f>
        <x:v>COMPLETE</x:v>
      </x:c>
      <x:c r="K76" s="33" t="str">
        <x:f t="shared" si="5">IF(J76&lt;&gt;"COMPLETE","",IF(OR(AND(F76="DEVANAGARI_TARGET_REQUIRED",G76&lt;&gt;"REQUIRED"),AND(F76="NO_TRANSLITERATION_ALLOWED",G76&lt;&gt;"PROHIBITED"),AND(F76="LATIN_IDENTITY_PREFERRED_TARGET_OPTIONAL",G76&lt;&gt;"OPTIONAL"),AND(F76="BOTH_EQUAL_REVIEW_REQUIRED",G76="PROHIBITED")),"CHECK","OK"))</x:f>
        <x:v>OK</x:v>
      </x:c>
    </x:row>
    <x:row r="77" ht="14.75">
      <x:c r="A77" s="28">
        <x:v>73</x:v>
      </x:c>
      <x:c r="B77" s="29" t="s">
        <x:v>204</x:v>
      </x:c>
      <x:c r="C77" s="30" t="s">
        <x:v>205</x:v>
      </x:c>
      <x:c r="D77" s="30" t="s">
        <x:v>205</x:v>
      </x:c>
      <x:c r="E77" s="31" t="s">
        <x:v>63</x:v>
      </x:c>
      <x:c r="F77" s="31" t="s">
        <x:v>64</x:v>
      </x:c>
      <x:c r="G77" s="31" t="s">
        <x:v>65</x:v>
      </x:c>
      <x:c r="H77" s="31" t="s">
        <x:v>53</x:v>
      </x:c>
      <x:c r="I77" s="31" t="s">
        <x:v>206</x:v>
      </x:c>
      <x:c r="J77" s="32" t="str">
        <x:f t="shared" si="4">IF(AND(E77&lt;&gt;"",F77&lt;&gt;"",G77&lt;&gt;"",H77&lt;&gt;"",I77&lt;&gt;""),"COMPLETE","PENDING")</x:f>
        <x:v>COMPLETE</x:v>
      </x:c>
      <x:c r="K77" s="33" t="str">
        <x:f t="shared" si="5">IF(J77&lt;&gt;"COMPLETE","",IF(OR(AND(F77="DEVANAGARI_TARGET_REQUIRED",G77&lt;&gt;"REQUIRED"),AND(F77="NO_TRANSLITERATION_ALLOWED",G77&lt;&gt;"PROHIBITED"),AND(F77="LATIN_IDENTITY_PREFERRED_TARGET_OPTIONAL",G77&lt;&gt;"OPTIONAL"),AND(F77="BOTH_EQUAL_REVIEW_REQUIRED",G77="PROHIBITED")),"CHECK","OK"))</x:f>
        <x:v>OK</x:v>
      </x:c>
    </x:row>
    <x:row r="78" ht="14.75">
      <x:c r="A78" s="28">
        <x:v>74</x:v>
      </x:c>
      <x:c r="B78" s="29" t="s">
        <x:v>207</x:v>
      </x:c>
      <x:c r="C78" s="30" t="s">
        <x:v>208</x:v>
      </x:c>
      <x:c r="D78" s="30" t="s">
        <x:v>208</x:v>
      </x:c>
      <x:c r="E78" s="31" t="s">
        <x:v>63</x:v>
      </x:c>
      <x:c r="F78" s="31" t="s">
        <x:v>64</x:v>
      </x:c>
      <x:c r="G78" s="31" t="s">
        <x:v>65</x:v>
      </x:c>
      <x:c r="H78" s="31" t="s">
        <x:v>53</x:v>
      </x:c>
      <x:c r="I78" s="31" t="s">
        <x:v>152</x:v>
      </x:c>
      <x:c r="J78" s="32" t="str">
        <x:f t="shared" si="4">IF(AND(E78&lt;&gt;"",F78&lt;&gt;"",G78&lt;&gt;"",H78&lt;&gt;"",I78&lt;&gt;""),"COMPLETE","PENDING")</x:f>
        <x:v>COMPLETE</x:v>
      </x:c>
      <x:c r="K78" s="33" t="str">
        <x:f t="shared" si="5">IF(J78&lt;&gt;"COMPLETE","",IF(OR(AND(F78="DEVANAGARI_TARGET_REQUIRED",G78&lt;&gt;"REQUIRED"),AND(F78="NO_TRANSLITERATION_ALLOWED",G78&lt;&gt;"PROHIBITED"),AND(F78="LATIN_IDENTITY_PREFERRED_TARGET_OPTIONAL",G78&lt;&gt;"OPTIONAL"),AND(F78="BOTH_EQUAL_REVIEW_REQUIRED",G78="PROHIBITED")),"CHECK","OK"))</x:f>
        <x:v>OK</x:v>
      </x:c>
    </x:row>
    <x:row r="79" ht="29.5">
      <x:c r="A79" s="28">
        <x:v>75</x:v>
      </x:c>
      <x:c r="B79" s="29" t="s">
        <x:v>209</x:v>
      </x:c>
      <x:c r="C79" s="30" t="s">
        <x:v>210</x:v>
      </x:c>
      <x:c r="D79" s="30" t="s">
        <x:v>210</x:v>
      </x:c>
      <x:c r="E79" s="31" t="s">
        <x:v>50</x:v>
      </x:c>
      <x:c r="F79" s="31" t="s">
        <x:v>51</x:v>
      </x:c>
      <x:c r="G79" s="31" t="s">
        <x:v>52</x:v>
      </x:c>
      <x:c r="H79" s="31" t="s">
        <x:v>53</x:v>
      </x:c>
      <x:c r="I79" s="31" t="s">
        <x:v>73</x:v>
      </x:c>
      <x:c r="J79" s="32" t="str">
        <x:f t="shared" si="4">IF(AND(E79&lt;&gt;"",F79&lt;&gt;"",G79&lt;&gt;"",H79&lt;&gt;"",I79&lt;&gt;""),"COMPLETE","PENDING")</x:f>
        <x:v>COMPLETE</x:v>
      </x:c>
      <x:c r="K79" s="33" t="str">
        <x:f t="shared" si="5">IF(J79&lt;&gt;"COMPLETE","",IF(OR(AND(F79="DEVANAGARI_TARGET_REQUIRED",G79&lt;&gt;"REQUIRED"),AND(F79="NO_TRANSLITERATION_ALLOWED",G79&lt;&gt;"PROHIBITED"),AND(F79="LATIN_IDENTITY_PREFERRED_TARGET_OPTIONAL",G79&lt;&gt;"OPTIONAL"),AND(F79="BOTH_EQUAL_REVIEW_REQUIRED",G79="PROHIBITED")),"CHECK","OK"))</x:f>
        <x:v>OK</x:v>
      </x:c>
    </x:row>
    <x:row r="80" ht="29.5">
      <x:c r="A80" s="28">
        <x:v>76</x:v>
      </x:c>
      <x:c r="B80" s="29" t="s">
        <x:v>211</x:v>
      </x:c>
      <x:c r="C80" s="30" t="s">
        <x:v>92</x:v>
      </x:c>
      <x:c r="D80" s="30" t="s">
        <x:v>92</x:v>
      </x:c>
      <x:c r="E80" s="31" t="s">
        <x:v>57</x:v>
      </x:c>
      <x:c r="F80" s="31" t="s">
        <x:v>58</x:v>
      </x:c>
      <x:c r="G80" s="31" t="s">
        <x:v>58</x:v>
      </x:c>
      <x:c r="H80" s="31" t="s">
        <x:v>59</x:v>
      </x:c>
      <x:c r="I80" s="31" t="s">
        <x:v>75</x:v>
      </x:c>
      <x:c r="J80" s="32" t="str">
        <x:f t="shared" si="4">IF(AND(E80&lt;&gt;"",F80&lt;&gt;"",G80&lt;&gt;"",H80&lt;&gt;"",I80&lt;&gt;""),"COMPLETE","PENDING")</x:f>
        <x:v>COMPLETE</x:v>
      </x:c>
      <x:c r="K80" s="33" t="str">
        <x:f t="shared" si="5">IF(J80&lt;&gt;"COMPLETE","",IF(OR(AND(F80="DEVANAGARI_TARGET_REQUIRED",G80&lt;&gt;"REQUIRED"),AND(F80="NO_TRANSLITERATION_ALLOWED",G80&lt;&gt;"PROHIBITED"),AND(F80="LATIN_IDENTITY_PREFERRED_TARGET_OPTIONAL",G80&lt;&gt;"OPTIONAL"),AND(F80="BOTH_EQUAL_REVIEW_REQUIRED",G80="PROHIBITED")),"CHECK","OK"))</x:f>
        <x:v>OK</x:v>
      </x:c>
    </x:row>
    <x:row r="81" ht="29.5">
      <x:c r="A81" s="28">
        <x:v>77</x:v>
      </x:c>
      <x:c r="B81" s="29" t="s">
        <x:v>212</x:v>
      </x:c>
      <x:c r="C81" s="30" t="s">
        <x:v>213</x:v>
      </x:c>
      <x:c r="D81" s="30" t="s">
        <x:v>213</x:v>
      </x:c>
      <x:c r="E81" s="31" t="s">
        <x:v>50</x:v>
      </x:c>
      <x:c r="F81" s="31" t="s">
        <x:v>51</x:v>
      </x:c>
      <x:c r="G81" s="31" t="s">
        <x:v>52</x:v>
      </x:c>
      <x:c r="H81" s="31" t="s">
        <x:v>53</x:v>
      </x:c>
      <x:c r="I81" s="31" t="s">
        <x:v>73</x:v>
      </x:c>
      <x:c r="J81" s="32" t="str">
        <x:f t="shared" si="4">IF(AND(E81&lt;&gt;"",F81&lt;&gt;"",G81&lt;&gt;"",H81&lt;&gt;"",I81&lt;&gt;""),"COMPLETE","PENDING")</x:f>
        <x:v>COMPLETE</x:v>
      </x:c>
      <x:c r="K81" s="33" t="str">
        <x:f t="shared" si="5">IF(J81&lt;&gt;"COMPLETE","",IF(OR(AND(F81="DEVANAGARI_TARGET_REQUIRED",G81&lt;&gt;"REQUIRED"),AND(F81="NO_TRANSLITERATION_ALLOWED",G81&lt;&gt;"PROHIBITED"),AND(F81="LATIN_IDENTITY_PREFERRED_TARGET_OPTIONAL",G81&lt;&gt;"OPTIONAL"),AND(F81="BOTH_EQUAL_REVIEW_REQUIRED",G81="PROHIBITED")),"CHECK","OK"))</x:f>
        <x:v>OK</x:v>
      </x:c>
    </x:row>
    <x:row r="82" ht="14.75">
      <x:c r="A82" s="28">
        <x:v>78</x:v>
      </x:c>
      <x:c r="B82" s="29" t="s">
        <x:v>214</x:v>
      </x:c>
      <x:c r="C82" s="30" t="s">
        <x:v>215</x:v>
      </x:c>
      <x:c r="D82" s="30" t="s">
        <x:v>215</x:v>
      </x:c>
      <x:c r="E82" s="31" t="s">
        <x:v>63</x:v>
      </x:c>
      <x:c r="F82" s="31" t="s">
        <x:v>64</x:v>
      </x:c>
      <x:c r="G82" s="31" t="s">
        <x:v>65</x:v>
      </x:c>
      <x:c r="H82" s="31" t="s">
        <x:v>53</x:v>
      </x:c>
      <x:c r="I82" s="31" t="s">
        <x:v>66</x:v>
      </x:c>
      <x:c r="J82" s="32" t="str">
        <x:f t="shared" si="4">IF(AND(E82&lt;&gt;"",F82&lt;&gt;"",G82&lt;&gt;"",H82&lt;&gt;"",I82&lt;&gt;""),"COMPLETE","PENDING")</x:f>
        <x:v>COMPLETE</x:v>
      </x:c>
      <x:c r="K82" s="33" t="str">
        <x:f t="shared" si="5">IF(J82&lt;&gt;"COMPLETE","",IF(OR(AND(F82="DEVANAGARI_TARGET_REQUIRED",G82&lt;&gt;"REQUIRED"),AND(F82="NO_TRANSLITERATION_ALLOWED",G82&lt;&gt;"PROHIBITED"),AND(F82="LATIN_IDENTITY_PREFERRED_TARGET_OPTIONAL",G82&lt;&gt;"OPTIONAL"),AND(F82="BOTH_EQUAL_REVIEW_REQUIRED",G82="PROHIBITED")),"CHECK","OK"))</x:f>
        <x:v>OK</x:v>
      </x:c>
    </x:row>
    <x:row r="83" ht="14.75">
      <x:c r="A83" s="28">
        <x:v>79</x:v>
      </x:c>
      <x:c r="B83" s="29" t="s">
        <x:v>216</x:v>
      </x:c>
      <x:c r="C83" s="30" t="s">
        <x:v>217</x:v>
      </x:c>
      <x:c r="D83" s="30" t="s">
        <x:v>217</x:v>
      </x:c>
      <x:c r="E83" s="31" t="s">
        <x:v>63</x:v>
      </x:c>
      <x:c r="F83" s="31" t="s">
        <x:v>64</x:v>
      </x:c>
      <x:c r="G83" s="31" t="s">
        <x:v>65</x:v>
      </x:c>
      <x:c r="H83" s="31" t="s">
        <x:v>53</x:v>
      </x:c>
      <x:c r="I83" s="31" t="s">
        <x:v>66</x:v>
      </x:c>
      <x:c r="J83" s="32" t="str">
        <x:f t="shared" si="4">IF(AND(E83&lt;&gt;"",F83&lt;&gt;"",G83&lt;&gt;"",H83&lt;&gt;"",I83&lt;&gt;""),"COMPLETE","PENDING")</x:f>
        <x:v>COMPLETE</x:v>
      </x:c>
      <x:c r="K83" s="33" t="str">
        <x:f t="shared" si="5">IF(J83&lt;&gt;"COMPLETE","",IF(OR(AND(F83="DEVANAGARI_TARGET_REQUIRED",G83&lt;&gt;"REQUIRED"),AND(F83="NO_TRANSLITERATION_ALLOWED",G83&lt;&gt;"PROHIBITED"),AND(F83="LATIN_IDENTITY_PREFERRED_TARGET_OPTIONAL",G83&lt;&gt;"OPTIONAL"),AND(F83="BOTH_EQUAL_REVIEW_REQUIRED",G83="PROHIBITED")),"CHECK","OK"))</x:f>
        <x:v>OK</x:v>
      </x:c>
    </x:row>
    <x:row r="84" ht="29.5">
      <x:c r="A84" s="28">
        <x:v>80</x:v>
      </x:c>
      <x:c r="B84" s="29" t="s">
        <x:v>218</x:v>
      </x:c>
      <x:c r="C84" s="30" t="s">
        <x:v>96</x:v>
      </x:c>
      <x:c r="D84" s="30" t="s">
        <x:v>96</x:v>
      </x:c>
      <x:c r="E84" s="31" t="s">
        <x:v>50</x:v>
      </x:c>
      <x:c r="F84" s="31" t="s">
        <x:v>51</x:v>
      </x:c>
      <x:c r="G84" s="31" t="s">
        <x:v>52</x:v>
      </x:c>
      <x:c r="H84" s="31" t="s">
        <x:v>53</x:v>
      </x:c>
      <x:c r="I84" s="31" t="s">
        <x:v>73</x:v>
      </x:c>
      <x:c r="J84" s="32" t="str">
        <x:f t="shared" si="4">IF(AND(E84&lt;&gt;"",F84&lt;&gt;"",G84&lt;&gt;"",H84&lt;&gt;"",I84&lt;&gt;""),"COMPLETE","PENDING")</x:f>
        <x:v>COMPLETE</x:v>
      </x:c>
      <x:c r="K84" s="33" t="str">
        <x:f t="shared" si="5">IF(J84&lt;&gt;"COMPLETE","",IF(OR(AND(F84="DEVANAGARI_TARGET_REQUIRED",G84&lt;&gt;"REQUIRED"),AND(F84="NO_TRANSLITERATION_ALLOWED",G84&lt;&gt;"PROHIBITED"),AND(F84="LATIN_IDENTITY_PREFERRED_TARGET_OPTIONAL",G84&lt;&gt;"OPTIONAL"),AND(F84="BOTH_EQUAL_REVIEW_REQUIRED",G84="PROHIBITED")),"CHECK","OK"))</x:f>
        <x:v>OK</x:v>
      </x:c>
    </x:row>
    <x:row r="85" ht="29.5">
      <x:c r="A85" s="28">
        <x:v>81</x:v>
      </x:c>
      <x:c r="B85" s="29" t="s">
        <x:v>219</x:v>
      </x:c>
      <x:c r="C85" s="30" t="s">
        <x:v>220</x:v>
      </x:c>
      <x:c r="D85" s="30" t="s">
        <x:v>220</x:v>
      </x:c>
      <x:c r="E85" s="31" t="s">
        <x:v>50</x:v>
      </x:c>
      <x:c r="F85" s="31" t="s">
        <x:v>51</x:v>
      </x:c>
      <x:c r="G85" s="31" t="s">
        <x:v>52</x:v>
      </x:c>
      <x:c r="H85" s="31" t="s">
        <x:v>53</x:v>
      </x:c>
      <x:c r="I85" s="31" t="s">
        <x:v>73</x:v>
      </x:c>
      <x:c r="J85" s="32" t="str">
        <x:f t="shared" si="4">IF(AND(E85&lt;&gt;"",F85&lt;&gt;"",G85&lt;&gt;"",H85&lt;&gt;"",I85&lt;&gt;""),"COMPLETE","PENDING")</x:f>
        <x:v>COMPLETE</x:v>
      </x:c>
      <x:c r="K85" s="33" t="str">
        <x:f t="shared" si="5">IF(J85&lt;&gt;"COMPLETE","",IF(OR(AND(F85="DEVANAGARI_TARGET_REQUIRED",G85&lt;&gt;"REQUIRED"),AND(F85="NO_TRANSLITERATION_ALLOWED",G85&lt;&gt;"PROHIBITED"),AND(F85="LATIN_IDENTITY_PREFERRED_TARGET_OPTIONAL",G85&lt;&gt;"OPTIONAL"),AND(F85="BOTH_EQUAL_REVIEW_REQUIRED",G85="PROHIBITED")),"CHECK","OK"))</x:f>
        <x:v>OK</x:v>
      </x:c>
    </x:row>
    <x:row r="86" ht="29.5">
      <x:c r="A86" s="28">
        <x:v>82</x:v>
      </x:c>
      <x:c r="B86" s="29" t="s">
        <x:v>221</x:v>
      </x:c>
      <x:c r="C86" s="30" t="s">
        <x:v>151</x:v>
      </x:c>
      <x:c r="D86" s="30" t="s">
        <x:v>124</x:v>
      </x:c>
      <x:c r="E86" s="31" t="s">
        <x:v>63</x:v>
      </x:c>
      <x:c r="F86" s="31" t="s">
        <x:v>64</x:v>
      </x:c>
      <x:c r="G86" s="31" t="s">
        <x:v>65</x:v>
      </x:c>
      <x:c r="H86" s="31" t="s">
        <x:v>53</x:v>
      </x:c>
      <x:c r="I86" s="31" t="s">
        <x:v>152</x:v>
      </x:c>
      <x:c r="J86" s="32" t="str">
        <x:f t="shared" si="4">IF(AND(E86&lt;&gt;"",F86&lt;&gt;"",G86&lt;&gt;"",H86&lt;&gt;"",I86&lt;&gt;""),"COMPLETE","PENDING")</x:f>
        <x:v>COMPLETE</x:v>
      </x:c>
      <x:c r="K86" s="33" t="str">
        <x:f t="shared" si="5">IF(J86&lt;&gt;"COMPLETE","",IF(OR(AND(F86="DEVANAGARI_TARGET_REQUIRED",G86&lt;&gt;"REQUIRED"),AND(F86="NO_TRANSLITERATION_ALLOWED",G86&lt;&gt;"PROHIBITED"),AND(F86="LATIN_IDENTITY_PREFERRED_TARGET_OPTIONAL",G86&lt;&gt;"OPTIONAL"),AND(F86="BOTH_EQUAL_REVIEW_REQUIRED",G86="PROHIBITED")),"CHECK","OK"))</x:f>
        <x:v>OK</x:v>
      </x:c>
    </x:row>
    <x:row r="87" ht="29.5">
      <x:c r="A87" s="28">
        <x:v>83</x:v>
      </x:c>
      <x:c r="B87" s="29" t="s">
        <x:v>222</x:v>
      </x:c>
      <x:c r="C87" s="30" t="s">
        <x:v>223</x:v>
      </x:c>
      <x:c r="D87" s="30" t="s">
        <x:v>223</x:v>
      </x:c>
      <x:c r="E87" s="31" t="s">
        <x:v>50</x:v>
      </x:c>
      <x:c r="F87" s="31" t="s">
        <x:v>51</x:v>
      </x:c>
      <x:c r="G87" s="31" t="s">
        <x:v>52</x:v>
      </x:c>
      <x:c r="H87" s="31" t="s">
        <x:v>53</x:v>
      </x:c>
      <x:c r="I87" s="31" t="s">
        <x:v>73</x:v>
      </x:c>
      <x:c r="J87" s="32" t="str">
        <x:f t="shared" si="4">IF(AND(E87&lt;&gt;"",F87&lt;&gt;"",G87&lt;&gt;"",H87&lt;&gt;"",I87&lt;&gt;""),"COMPLETE","PENDING")</x:f>
        <x:v>COMPLETE</x:v>
      </x:c>
      <x:c r="K87" s="33" t="str">
        <x:f t="shared" si="5">IF(J87&lt;&gt;"COMPLETE","",IF(OR(AND(F87="DEVANAGARI_TARGET_REQUIRED",G87&lt;&gt;"REQUIRED"),AND(F87="NO_TRANSLITERATION_ALLOWED",G87&lt;&gt;"PROHIBITED"),AND(F87="LATIN_IDENTITY_PREFERRED_TARGET_OPTIONAL",G87&lt;&gt;"OPTIONAL"),AND(F87="BOTH_EQUAL_REVIEW_REQUIRED",G87="PROHIBITED")),"CHECK","OK"))</x:f>
        <x:v>OK</x:v>
      </x:c>
    </x:row>
    <x:row r="88" ht="29.5">
      <x:c r="A88" s="28">
        <x:v>84</x:v>
      </x:c>
      <x:c r="B88" s="29" t="s">
        <x:v>224</x:v>
      </x:c>
      <x:c r="C88" s="30" t="s">
        <x:v>213</x:v>
      </x:c>
      <x:c r="D88" s="30" t="s">
        <x:v>213</x:v>
      </x:c>
      <x:c r="E88" s="31" t="s">
        <x:v>50</x:v>
      </x:c>
      <x:c r="F88" s="31" t="s">
        <x:v>51</x:v>
      </x:c>
      <x:c r="G88" s="31" t="s">
        <x:v>52</x:v>
      </x:c>
      <x:c r="H88" s="31" t="s">
        <x:v>53</x:v>
      </x:c>
      <x:c r="I88" s="31" t="s">
        <x:v>73</x:v>
      </x:c>
      <x:c r="J88" s="32" t="str">
        <x:f t="shared" si="4">IF(AND(E88&lt;&gt;"",F88&lt;&gt;"",G88&lt;&gt;"",H88&lt;&gt;"",I88&lt;&gt;""),"COMPLETE","PENDING")</x:f>
        <x:v>COMPLETE</x:v>
      </x:c>
      <x:c r="K88" s="33" t="str">
        <x:f t="shared" si="5">IF(J88&lt;&gt;"COMPLETE","",IF(OR(AND(F88="DEVANAGARI_TARGET_REQUIRED",G88&lt;&gt;"REQUIRED"),AND(F88="NO_TRANSLITERATION_ALLOWED",G88&lt;&gt;"PROHIBITED"),AND(F88="LATIN_IDENTITY_PREFERRED_TARGET_OPTIONAL",G88&lt;&gt;"OPTIONAL"),AND(F88="BOTH_EQUAL_REVIEW_REQUIRED",G88="PROHIBITED")),"CHECK","OK"))</x:f>
        <x:v>OK</x:v>
      </x:c>
    </x:row>
    <x:row r="89" ht="14.75">
      <x:c r="A89" s="28">
        <x:v>85</x:v>
      </x:c>
      <x:c r="B89" s="29" t="s">
        <x:v>225</x:v>
      </x:c>
      <x:c r="C89" s="30" t="s">
        <x:v>226</x:v>
      </x:c>
      <x:c r="D89" s="30" t="s">
        <x:v>226</x:v>
      </x:c>
      <x:c r="E89" s="31" t="s">
        <x:v>63</x:v>
      </x:c>
      <x:c r="F89" s="31" t="s">
        <x:v>64</x:v>
      </x:c>
      <x:c r="G89" s="31" t="s">
        <x:v>65</x:v>
      </x:c>
      <x:c r="H89" s="31" t="s">
        <x:v>53</x:v>
      </x:c>
      <x:c r="I89" s="31" t="s">
        <x:v>227</x:v>
      </x:c>
      <x:c r="J89" s="32" t="str">
        <x:f t="shared" si="4">IF(AND(E89&lt;&gt;"",F89&lt;&gt;"",G89&lt;&gt;"",H89&lt;&gt;"",I89&lt;&gt;""),"COMPLETE","PENDING")</x:f>
        <x:v>COMPLETE</x:v>
      </x:c>
      <x:c r="K89" s="33" t="str">
        <x:f t="shared" si="5">IF(J89&lt;&gt;"COMPLETE","",IF(OR(AND(F89="DEVANAGARI_TARGET_REQUIRED",G89&lt;&gt;"REQUIRED"),AND(F89="NO_TRANSLITERATION_ALLOWED",G89&lt;&gt;"PROHIBITED"),AND(F89="LATIN_IDENTITY_PREFERRED_TARGET_OPTIONAL",G89&lt;&gt;"OPTIONAL"),AND(F89="BOTH_EQUAL_REVIEW_REQUIRED",G89="PROHIBITED")),"CHECK","OK"))</x:f>
        <x:v>OK</x:v>
      </x:c>
    </x:row>
    <x:row r="90" ht="14.75">
      <x:c r="A90" s="28">
        <x:v>86</x:v>
      </x:c>
      <x:c r="B90" s="29" t="s">
        <x:v>228</x:v>
      </x:c>
      <x:c r="C90" s="30" t="s">
        <x:v>229</x:v>
      </x:c>
      <x:c r="D90" s="30" t="s">
        <x:v>229</x:v>
      </x:c>
      <x:c r="E90" s="31" t="s">
        <x:v>63</x:v>
      </x:c>
      <x:c r="F90" s="31" t="s">
        <x:v>64</x:v>
      </x:c>
      <x:c r="G90" s="31" t="s">
        <x:v>65</x:v>
      </x:c>
      <x:c r="H90" s="31" t="s">
        <x:v>53</x:v>
      </x:c>
      <x:c r="I90" s="31" t="s">
        <x:v>122</x:v>
      </x:c>
      <x:c r="J90" s="32" t="str">
        <x:f t="shared" si="4">IF(AND(E90&lt;&gt;"",F90&lt;&gt;"",G90&lt;&gt;"",H90&lt;&gt;"",I90&lt;&gt;""),"COMPLETE","PENDING")</x:f>
        <x:v>COMPLETE</x:v>
      </x:c>
      <x:c r="K90" s="33" t="str">
        <x:f t="shared" si="5">IF(J90&lt;&gt;"COMPLETE","",IF(OR(AND(F90="DEVANAGARI_TARGET_REQUIRED",G90&lt;&gt;"REQUIRED"),AND(F90="NO_TRANSLITERATION_ALLOWED",G90&lt;&gt;"PROHIBITED"),AND(F90="LATIN_IDENTITY_PREFERRED_TARGET_OPTIONAL",G90&lt;&gt;"OPTIONAL"),AND(F90="BOTH_EQUAL_REVIEW_REQUIRED",G90="PROHIBITED")),"CHECK","OK"))</x:f>
        <x:v>OK</x:v>
      </x:c>
    </x:row>
    <x:row r="91" ht="14.75">
      <x:c r="A91" s="28">
        <x:v>87</x:v>
      </x:c>
      <x:c r="B91" s="29" t="s">
        <x:v>230</x:v>
      </x:c>
      <x:c r="C91" s="30" t="s">
        <x:v>81</x:v>
      </x:c>
      <x:c r="D91" s="30" t="s">
        <x:v>81</x:v>
      </x:c>
      <x:c r="E91" s="31" t="s">
        <x:v>57</x:v>
      </x:c>
      <x:c r="F91" s="31" t="s">
        <x:v>58</x:v>
      </x:c>
      <x:c r="G91" s="31" t="s">
        <x:v>58</x:v>
      </x:c>
      <x:c r="H91" s="31" t="s">
        <x:v>53</x:v>
      </x:c>
      <x:c r="I91" s="31" t="s">
        <x:v>231</x:v>
      </x:c>
      <x:c r="J91" s="32" t="str">
        <x:f t="shared" si="4">IF(AND(E91&lt;&gt;"",F91&lt;&gt;"",G91&lt;&gt;"",H91&lt;&gt;"",I91&lt;&gt;""),"COMPLETE","PENDING")</x:f>
        <x:v>COMPLETE</x:v>
      </x:c>
      <x:c r="K91" s="33" t="str">
        <x:f t="shared" si="5">IF(J91&lt;&gt;"COMPLETE","",IF(OR(AND(F91="DEVANAGARI_TARGET_REQUIRED",G91&lt;&gt;"REQUIRED"),AND(F91="NO_TRANSLITERATION_ALLOWED",G91&lt;&gt;"PROHIBITED"),AND(F91="LATIN_IDENTITY_PREFERRED_TARGET_OPTIONAL",G91&lt;&gt;"OPTIONAL"),AND(F91="BOTH_EQUAL_REVIEW_REQUIRED",G91="PROHIBITED")),"CHECK","OK"))</x:f>
        <x:v>OK</x:v>
      </x:c>
    </x:row>
    <x:row r="92" ht="14.75">
      <x:c r="A92" s="28">
        <x:v>88</x:v>
      </x:c>
      <x:c r="B92" s="29" t="s">
        <x:v>232</x:v>
      </x:c>
      <x:c r="C92" s="30" t="s">
        <x:v>233</x:v>
      </x:c>
      <x:c r="D92" s="30" t="s">
        <x:v>233</x:v>
      </x:c>
      <x:c r="E92" s="31" t="s">
        <x:v>63</x:v>
      </x:c>
      <x:c r="F92" s="31" t="s">
        <x:v>64</x:v>
      </x:c>
      <x:c r="G92" s="31" t="s">
        <x:v>65</x:v>
      </x:c>
      <x:c r="H92" s="31" t="s">
        <x:v>53</x:v>
      </x:c>
      <x:c r="I92" s="31" t="s">
        <x:v>234</x:v>
      </x:c>
      <x:c r="J92" s="32" t="str">
        <x:f t="shared" si="4">IF(AND(E92&lt;&gt;"",F92&lt;&gt;"",G92&lt;&gt;"",H92&lt;&gt;"",I92&lt;&gt;""),"COMPLETE","PENDING")</x:f>
        <x:v>COMPLETE</x:v>
      </x:c>
      <x:c r="K92" s="33" t="str">
        <x:f t="shared" si="5">IF(J92&lt;&gt;"COMPLETE","",IF(OR(AND(F92="DEVANAGARI_TARGET_REQUIRED",G92&lt;&gt;"REQUIRED"),AND(F92="NO_TRANSLITERATION_ALLOWED",G92&lt;&gt;"PROHIBITED"),AND(F92="LATIN_IDENTITY_PREFERRED_TARGET_OPTIONAL",G92&lt;&gt;"OPTIONAL"),AND(F92="BOTH_EQUAL_REVIEW_REQUIRED",G92="PROHIBITED")),"CHECK","OK"))</x:f>
        <x:v>OK</x:v>
      </x:c>
    </x:row>
    <x:row r="93" ht="14.75">
      <x:c r="A93" s="28">
        <x:v>89</x:v>
      </x:c>
      <x:c r="B93" s="29" t="s">
        <x:v>235</x:v>
      </x:c>
      <x:c r="C93" s="30" t="s">
        <x:v>236</x:v>
      </x:c>
      <x:c r="D93" s="30" t="s">
        <x:v>236</x:v>
      </x:c>
      <x:c r="E93" s="31" t="s">
        <x:v>63</x:v>
      </x:c>
      <x:c r="F93" s="31" t="s">
        <x:v>64</x:v>
      </x:c>
      <x:c r="G93" s="31" t="s">
        <x:v>65</x:v>
      </x:c>
      <x:c r="H93" s="31" t="s">
        <x:v>53</x:v>
      </x:c>
      <x:c r="I93" s="31" t="s">
        <x:v>237</x:v>
      </x:c>
      <x:c r="J93" s="32" t="str">
        <x:f t="shared" si="4">IF(AND(E93&lt;&gt;"",F93&lt;&gt;"",G93&lt;&gt;"",H93&lt;&gt;"",I93&lt;&gt;""),"COMPLETE","PENDING")</x:f>
        <x:v>COMPLETE</x:v>
      </x:c>
      <x:c r="K93" s="33" t="str">
        <x:f t="shared" si="5">IF(J93&lt;&gt;"COMPLETE","",IF(OR(AND(F93="DEVANAGARI_TARGET_REQUIRED",G93&lt;&gt;"REQUIRED"),AND(F93="NO_TRANSLITERATION_ALLOWED",G93&lt;&gt;"PROHIBITED"),AND(F93="LATIN_IDENTITY_PREFERRED_TARGET_OPTIONAL",G93&lt;&gt;"OPTIONAL"),AND(F93="BOTH_EQUAL_REVIEW_REQUIRED",G93="PROHIBITED")),"CHECK","OK"))</x:f>
        <x:v>OK</x:v>
      </x:c>
    </x:row>
    <x:row r="94" ht="14.75">
      <x:c r="A94" s="28">
        <x:v>90</x:v>
      </x:c>
      <x:c r="B94" s="29" t="s">
        <x:v>238</x:v>
      </x:c>
      <x:c r="C94" s="30" t="s">
        <x:v>121</x:v>
      </x:c>
      <x:c r="D94" s="30" t="s">
        <x:v>121</x:v>
      </x:c>
      <x:c r="E94" s="31" t="s">
        <x:v>63</x:v>
      </x:c>
      <x:c r="F94" s="31" t="s">
        <x:v>64</x:v>
      </x:c>
      <x:c r="G94" s="31" t="s">
        <x:v>65</x:v>
      </x:c>
      <x:c r="H94" s="31" t="s">
        <x:v>53</x:v>
      </x:c>
      <x:c r="I94" s="31" t="s">
        <x:v>239</x:v>
      </x:c>
      <x:c r="J94" s="32" t="str">
        <x:f t="shared" si="4">IF(AND(E94&lt;&gt;"",F94&lt;&gt;"",G94&lt;&gt;"",H94&lt;&gt;"",I94&lt;&gt;""),"COMPLETE","PENDING")</x:f>
        <x:v>COMPLETE</x:v>
      </x:c>
      <x:c r="K94" s="33" t="str">
        <x:f t="shared" si="5">IF(J94&lt;&gt;"COMPLETE","",IF(OR(AND(F94="DEVANAGARI_TARGET_REQUIRED",G94&lt;&gt;"REQUIRED"),AND(F94="NO_TRANSLITERATION_ALLOWED",G94&lt;&gt;"PROHIBITED"),AND(F94="LATIN_IDENTITY_PREFERRED_TARGET_OPTIONAL",G94&lt;&gt;"OPTIONAL"),AND(F94="BOTH_EQUAL_REVIEW_REQUIRED",G94="PROHIBITED")),"CHECK","OK"))</x:f>
        <x:v>OK</x:v>
      </x:c>
    </x:row>
    <x:row r="95" ht="29.5">
      <x:c r="A95" s="28">
        <x:v>91</x:v>
      </x:c>
      <x:c r="B95" s="29" t="s">
        <x:v>240</x:v>
      </x:c>
      <x:c r="C95" s="30" t="s">
        <x:v>241</x:v>
      </x:c>
      <x:c r="D95" s="30" t="s">
        <x:v>241</x:v>
      </x:c>
      <x:c r="E95" s="31" t="s">
        <x:v>50</x:v>
      </x:c>
      <x:c r="F95" s="31" t="s">
        <x:v>51</x:v>
      </x:c>
      <x:c r="G95" s="31" t="s">
        <x:v>52</x:v>
      </x:c>
      <x:c r="H95" s="31" t="s">
        <x:v>53</x:v>
      </x:c>
      <x:c r="I95" s="31" t="s">
        <x:v>73</x:v>
      </x:c>
      <x:c r="J95" s="32" t="str">
        <x:f t="shared" si="4">IF(AND(E95&lt;&gt;"",F95&lt;&gt;"",G95&lt;&gt;"",H95&lt;&gt;"",I95&lt;&gt;""),"COMPLETE","PENDING")</x:f>
        <x:v>COMPLETE</x:v>
      </x:c>
      <x:c r="K95" s="33" t="str">
        <x:f t="shared" si="5">IF(J95&lt;&gt;"COMPLETE","",IF(OR(AND(F95="DEVANAGARI_TARGET_REQUIRED",G95&lt;&gt;"REQUIRED"),AND(F95="NO_TRANSLITERATION_ALLOWED",G95&lt;&gt;"PROHIBITED"),AND(F95="LATIN_IDENTITY_PREFERRED_TARGET_OPTIONAL",G95&lt;&gt;"OPTIONAL"),AND(F95="BOTH_EQUAL_REVIEW_REQUIRED",G95="PROHIBITED")),"CHECK","OK"))</x:f>
        <x:v>OK</x:v>
      </x:c>
    </x:row>
    <x:row r="96" ht="14.75">
      <x:c r="A96" s="28">
        <x:v>92</x:v>
      </x:c>
      <x:c r="B96" s="29" t="s">
        <x:v>242</x:v>
      </x:c>
      <x:c r="C96" s="30" t="s">
        <x:v>184</x:v>
      </x:c>
      <x:c r="D96" s="30" t="s">
        <x:v>184</x:v>
      </x:c>
      <x:c r="E96" s="31" t="s">
        <x:v>63</x:v>
      </x:c>
      <x:c r="F96" s="31" t="s">
        <x:v>64</x:v>
      </x:c>
      <x:c r="G96" s="31" t="s">
        <x:v>65</x:v>
      </x:c>
      <x:c r="H96" s="31" t="s">
        <x:v>53</x:v>
      </x:c>
      <x:c r="I96" s="31" t="s">
        <x:v>152</x:v>
      </x:c>
      <x:c r="J96" s="32" t="str">
        <x:f t="shared" si="4">IF(AND(E96&lt;&gt;"",F96&lt;&gt;"",G96&lt;&gt;"",H96&lt;&gt;"",I96&lt;&gt;""),"COMPLETE","PENDING")</x:f>
        <x:v>COMPLETE</x:v>
      </x:c>
      <x:c r="K96" s="33" t="str">
        <x:f t="shared" si="5">IF(J96&lt;&gt;"COMPLETE","",IF(OR(AND(F96="DEVANAGARI_TARGET_REQUIRED",G96&lt;&gt;"REQUIRED"),AND(F96="NO_TRANSLITERATION_ALLOWED",G96&lt;&gt;"PROHIBITED"),AND(F96="LATIN_IDENTITY_PREFERRED_TARGET_OPTIONAL",G96&lt;&gt;"OPTIONAL"),AND(F96="BOTH_EQUAL_REVIEW_REQUIRED",G96="PROHIBITED")),"CHECK","OK"))</x:f>
        <x:v>OK</x:v>
      </x:c>
    </x:row>
    <x:row r="97" ht="29.5">
      <x:c r="A97" s="28">
        <x:v>93</x:v>
      </x:c>
      <x:c r="B97" s="29" t="s">
        <x:v>243</x:v>
      </x:c>
      <x:c r="C97" s="30" t="s">
        <x:v>244</x:v>
      </x:c>
      <x:c r="D97" s="30" t="s">
        <x:v>244</x:v>
      </x:c>
      <x:c r="E97" s="31" t="s">
        <x:v>50</x:v>
      </x:c>
      <x:c r="F97" s="31" t="s">
        <x:v>51</x:v>
      </x:c>
      <x:c r="G97" s="31" t="s">
        <x:v>52</x:v>
      </x:c>
      <x:c r="H97" s="31" t="s">
        <x:v>53</x:v>
      </x:c>
      <x:c r="I97" s="31" t="s">
        <x:v>73</x:v>
      </x:c>
      <x:c r="J97" s="32" t="str">
        <x:f t="shared" si="4">IF(AND(E97&lt;&gt;"",F97&lt;&gt;"",G97&lt;&gt;"",H97&lt;&gt;"",I97&lt;&gt;""),"COMPLETE","PENDING")</x:f>
        <x:v>COMPLETE</x:v>
      </x:c>
      <x:c r="K97" s="33" t="str">
        <x:f t="shared" si="5">IF(J97&lt;&gt;"COMPLETE","",IF(OR(AND(F97="DEVANAGARI_TARGET_REQUIRED",G97&lt;&gt;"REQUIRED"),AND(F97="NO_TRANSLITERATION_ALLOWED",G97&lt;&gt;"PROHIBITED"),AND(F97="LATIN_IDENTITY_PREFERRED_TARGET_OPTIONAL",G97&lt;&gt;"OPTIONAL"),AND(F97="BOTH_EQUAL_REVIEW_REQUIRED",G97="PROHIBITED")),"CHECK","OK"))</x:f>
        <x:v>OK</x:v>
      </x:c>
    </x:row>
    <x:row r="98" ht="29.5">
      <x:c r="A98" s="28">
        <x:v>94</x:v>
      </x:c>
      <x:c r="B98" s="29" t="s">
        <x:v>245</x:v>
      </x:c>
      <x:c r="C98" s="30" t="s">
        <x:v>246</x:v>
      </x:c>
      <x:c r="D98" s="30" t="s">
        <x:v>246</x:v>
      </x:c>
      <x:c r="E98" s="31" t="s">
        <x:v>50</x:v>
      </x:c>
      <x:c r="F98" s="31" t="s">
        <x:v>51</x:v>
      </x:c>
      <x:c r="G98" s="31" t="s">
        <x:v>52</x:v>
      </x:c>
      <x:c r="H98" s="31" t="s">
        <x:v>53</x:v>
      </x:c>
      <x:c r="I98" s="31" t="s">
        <x:v>73</x:v>
      </x:c>
      <x:c r="J98" s="32" t="str">
        <x:f t="shared" si="4">IF(AND(E98&lt;&gt;"",F98&lt;&gt;"",G98&lt;&gt;"",H98&lt;&gt;"",I98&lt;&gt;""),"COMPLETE","PENDING")</x:f>
        <x:v>COMPLETE</x:v>
      </x:c>
      <x:c r="K98" s="33" t="str">
        <x:f t="shared" si="5">IF(J98&lt;&gt;"COMPLETE","",IF(OR(AND(F98="DEVANAGARI_TARGET_REQUIRED",G98&lt;&gt;"REQUIRED"),AND(F98="NO_TRANSLITERATION_ALLOWED",G98&lt;&gt;"PROHIBITED"),AND(F98="LATIN_IDENTITY_PREFERRED_TARGET_OPTIONAL",G98&lt;&gt;"OPTIONAL"),AND(F98="BOTH_EQUAL_REVIEW_REQUIRED",G98="PROHIBITED")),"CHECK","OK"))</x:f>
        <x:v>OK</x:v>
      </x:c>
    </x:row>
    <x:row r="99" ht="29.5">
      <x:c r="A99" s="28">
        <x:v>95</x:v>
      </x:c>
      <x:c r="B99" s="29" t="s">
        <x:v>247</x:v>
      </x:c>
      <x:c r="C99" s="30" t="s">
        <x:v>246</x:v>
      </x:c>
      <x:c r="D99" s="30" t="s">
        <x:v>246</x:v>
      </x:c>
      <x:c r="E99" s="31" t="s">
        <x:v>50</x:v>
      </x:c>
      <x:c r="F99" s="31" t="s">
        <x:v>51</x:v>
      </x:c>
      <x:c r="G99" s="31" t="s">
        <x:v>52</x:v>
      </x:c>
      <x:c r="H99" s="31" t="s">
        <x:v>53</x:v>
      </x:c>
      <x:c r="I99" s="31" t="s">
        <x:v>73</x:v>
      </x:c>
      <x:c r="J99" s="32" t="str">
        <x:f t="shared" si="4">IF(AND(E99&lt;&gt;"",F99&lt;&gt;"",G99&lt;&gt;"",H99&lt;&gt;"",I99&lt;&gt;""),"COMPLETE","PENDING")</x:f>
        <x:v>COMPLETE</x:v>
      </x:c>
      <x:c r="K99" s="33" t="str">
        <x:f t="shared" si="5">IF(J99&lt;&gt;"COMPLETE","",IF(OR(AND(F99="DEVANAGARI_TARGET_REQUIRED",G99&lt;&gt;"REQUIRED"),AND(F99="NO_TRANSLITERATION_ALLOWED",G99&lt;&gt;"PROHIBITED"),AND(F99="LATIN_IDENTITY_PREFERRED_TARGET_OPTIONAL",G99&lt;&gt;"OPTIONAL"),AND(F99="BOTH_EQUAL_REVIEW_REQUIRED",G99="PROHIBITED")),"CHECK","OK"))</x:f>
        <x:v>OK</x:v>
      </x:c>
    </x:row>
    <x:row r="100" ht="29.5">
      <x:c r="A100" s="28">
        <x:v>96</x:v>
      </x:c>
      <x:c r="B100" s="29" t="s">
        <x:v>248</x:v>
      </x:c>
      <x:c r="C100" s="30" t="s">
        <x:v>249</x:v>
      </x:c>
      <x:c r="D100" s="30" t="s">
        <x:v>249</x:v>
      </x:c>
      <x:c r="E100" s="31" t="s">
        <x:v>50</x:v>
      </x:c>
      <x:c r="F100" s="31" t="s">
        <x:v>51</x:v>
      </x:c>
      <x:c r="G100" s="31" t="s">
        <x:v>52</x:v>
      </x:c>
      <x:c r="H100" s="31" t="s">
        <x:v>53</x:v>
      </x:c>
      <x:c r="I100" s="31" t="s">
        <x:v>73</x:v>
      </x:c>
      <x:c r="J100" s="32" t="str">
        <x:f t="shared" si="4">IF(AND(E100&lt;&gt;"",F100&lt;&gt;"",G100&lt;&gt;"",H100&lt;&gt;"",I100&lt;&gt;""),"COMPLETE","PENDING")</x:f>
        <x:v>COMPLETE</x:v>
      </x:c>
      <x:c r="K100" s="33" t="str">
        <x:f t="shared" si="5">IF(J100&lt;&gt;"COMPLETE","",IF(OR(AND(F100="DEVANAGARI_TARGET_REQUIRED",G100&lt;&gt;"REQUIRED"),AND(F100="NO_TRANSLITERATION_ALLOWED",G100&lt;&gt;"PROHIBITED"),AND(F100="LATIN_IDENTITY_PREFERRED_TARGET_OPTIONAL",G100&lt;&gt;"OPTIONAL"),AND(F100="BOTH_EQUAL_REVIEW_REQUIRED",G100="PROHIBITED")),"CHECK","OK"))</x:f>
        <x:v>OK</x:v>
      </x:c>
    </x:row>
    <x:row r="101" ht="14.75">
      <x:c r="A101" s="28">
        <x:v>97</x:v>
      </x:c>
      <x:c r="B101" s="29" t="s">
        <x:v>250</x:v>
      </x:c>
      <x:c r="C101" s="30" t="s">
        <x:v>251</x:v>
      </x:c>
      <x:c r="D101" s="30" t="s">
        <x:v>251</x:v>
      </x:c>
      <x:c r="E101" s="31" t="s">
        <x:v>63</x:v>
      </x:c>
      <x:c r="F101" s="31" t="s">
        <x:v>64</x:v>
      </x:c>
      <x:c r="G101" s="31" t="s">
        <x:v>65</x:v>
      </x:c>
      <x:c r="H101" s="31" t="s">
        <x:v>53</x:v>
      </x:c>
      <x:c r="I101" s="31" t="s">
        <x:v>152</x:v>
      </x:c>
      <x:c r="J101" s="32" t="str">
        <x:f t="shared" ref="J101:J132" si="6">IF(AND(E101&lt;&gt;"",F101&lt;&gt;"",G101&lt;&gt;"",H101&lt;&gt;"",I101&lt;&gt;""),"COMPLETE","PENDING")</x:f>
        <x:v>COMPLETE</x:v>
      </x:c>
      <x:c r="K101" s="33" t="str">
        <x:f t="shared" ref="K101:K132" si="7">IF(J101&lt;&gt;"COMPLETE","",IF(OR(AND(F101="DEVANAGARI_TARGET_REQUIRED",G101&lt;&gt;"REQUIRED"),AND(F101="NO_TRANSLITERATION_ALLOWED",G101&lt;&gt;"PROHIBITED"),AND(F101="LATIN_IDENTITY_PREFERRED_TARGET_OPTIONAL",G101&lt;&gt;"OPTIONAL"),AND(F101="BOTH_EQUAL_REVIEW_REQUIRED",G101="PROHIBITED")),"CHECK","OK"))</x:f>
        <x:v>OK</x:v>
      </x:c>
    </x:row>
    <x:row r="102" ht="29.5">
      <x:c r="A102" s="28">
        <x:v>98</x:v>
      </x:c>
      <x:c r="B102" s="29" t="s">
        <x:v>252</x:v>
      </x:c>
      <x:c r="C102" s="30" t="s">
        <x:v>253</x:v>
      </x:c>
      <x:c r="D102" s="30" t="s">
        <x:v>253</x:v>
      </x:c>
      <x:c r="E102" s="31" t="s">
        <x:v>50</x:v>
      </x:c>
      <x:c r="F102" s="31" t="s">
        <x:v>51</x:v>
      </x:c>
      <x:c r="G102" s="31" t="s">
        <x:v>52</x:v>
      </x:c>
      <x:c r="H102" s="31" t="s">
        <x:v>53</x:v>
      </x:c>
      <x:c r="I102" s="31" t="s">
        <x:v>73</x:v>
      </x:c>
      <x:c r="J102" s="32" t="str">
        <x:f t="shared" si="6">IF(AND(E102&lt;&gt;"",F102&lt;&gt;"",G102&lt;&gt;"",H102&lt;&gt;"",I102&lt;&gt;""),"COMPLETE","PENDING")</x:f>
        <x:v>COMPLETE</x:v>
      </x:c>
      <x:c r="K102" s="33" t="str">
        <x:f t="shared" si="7">IF(J102&lt;&gt;"COMPLETE","",IF(OR(AND(F102="DEVANAGARI_TARGET_REQUIRED",G102&lt;&gt;"REQUIRED"),AND(F102="NO_TRANSLITERATION_ALLOWED",G102&lt;&gt;"PROHIBITED"),AND(F102="LATIN_IDENTITY_PREFERRED_TARGET_OPTIONAL",G102&lt;&gt;"OPTIONAL"),AND(F102="BOTH_EQUAL_REVIEW_REQUIRED",G102="PROHIBITED")),"CHECK","OK"))</x:f>
        <x:v>OK</x:v>
      </x:c>
    </x:row>
    <x:row r="103" ht="29.5">
      <x:c r="A103" s="28">
        <x:v>99</x:v>
      </x:c>
      <x:c r="B103" s="29" t="s">
        <x:v>254</x:v>
      </x:c>
      <x:c r="C103" s="30" t="s">
        <x:v>255</x:v>
      </x:c>
      <x:c r="D103" s="30" t="s">
        <x:v>255</x:v>
      </x:c>
      <x:c r="E103" s="31" t="s">
        <x:v>50</x:v>
      </x:c>
      <x:c r="F103" s="31" t="s">
        <x:v>51</x:v>
      </x:c>
      <x:c r="G103" s="31" t="s">
        <x:v>52</x:v>
      </x:c>
      <x:c r="H103" s="31" t="s">
        <x:v>53</x:v>
      </x:c>
      <x:c r="I103" s="31" t="s">
        <x:v>73</x:v>
      </x:c>
      <x:c r="J103" s="32" t="str">
        <x:f t="shared" si="6">IF(AND(E103&lt;&gt;"",F103&lt;&gt;"",G103&lt;&gt;"",H103&lt;&gt;"",I103&lt;&gt;""),"COMPLETE","PENDING")</x:f>
        <x:v>COMPLETE</x:v>
      </x:c>
      <x:c r="K103" s="33" t="str">
        <x:f t="shared" si="7">IF(J103&lt;&gt;"COMPLETE","",IF(OR(AND(F103="DEVANAGARI_TARGET_REQUIRED",G103&lt;&gt;"REQUIRED"),AND(F103="NO_TRANSLITERATION_ALLOWED",G103&lt;&gt;"PROHIBITED"),AND(F103="LATIN_IDENTITY_PREFERRED_TARGET_OPTIONAL",G103&lt;&gt;"OPTIONAL"),AND(F103="BOTH_EQUAL_REVIEW_REQUIRED",G103="PROHIBITED")),"CHECK","OK"))</x:f>
        <x:v>OK</x:v>
      </x:c>
    </x:row>
    <x:row r="104" ht="14.75">
      <x:c r="A104" s="28">
        <x:v>100</x:v>
      </x:c>
      <x:c r="B104" s="29" t="s">
        <x:v>256</x:v>
      </x:c>
      <x:c r="C104" s="30" t="s">
        <x:v>141</x:v>
      </x:c>
      <x:c r="D104" s="30" t="s">
        <x:v>141</x:v>
      </x:c>
      <x:c r="E104" s="31" t="s">
        <x:v>63</x:v>
      </x:c>
      <x:c r="F104" s="31" t="s">
        <x:v>64</x:v>
      </x:c>
      <x:c r="G104" s="31" t="s">
        <x:v>65</x:v>
      </x:c>
      <x:c r="H104" s="31" t="s">
        <x:v>53</x:v>
      </x:c>
      <x:c r="I104" s="31" t="s">
        <x:v>122</x:v>
      </x:c>
      <x:c r="J104" s="32" t="str">
        <x:f t="shared" si="6">IF(AND(E104&lt;&gt;"",F104&lt;&gt;"",G104&lt;&gt;"",H104&lt;&gt;"",I104&lt;&gt;""),"COMPLETE","PENDING")</x:f>
        <x:v>COMPLETE</x:v>
      </x:c>
      <x:c r="K104" s="33" t="str">
        <x:f t="shared" si="7">IF(J104&lt;&gt;"COMPLETE","",IF(OR(AND(F104="DEVANAGARI_TARGET_REQUIRED",G104&lt;&gt;"REQUIRED"),AND(F104="NO_TRANSLITERATION_ALLOWED",G104&lt;&gt;"PROHIBITED"),AND(F104="LATIN_IDENTITY_PREFERRED_TARGET_OPTIONAL",G104&lt;&gt;"OPTIONAL"),AND(F104="BOTH_EQUAL_REVIEW_REQUIRED",G104="PROHIBITED")),"CHECK","OK"))</x:f>
        <x:v>OK</x:v>
      </x:c>
    </x:row>
    <x:row r="105" ht="14.75">
      <x:c r="A105" s="28">
        <x:v>101</x:v>
      </x:c>
      <x:c r="B105" s="29" t="s">
        <x:v>257</x:v>
      </x:c>
      <x:c r="C105" s="30" t="s">
        <x:v>258</x:v>
      </x:c>
      <x:c r="D105" s="30" t="s">
        <x:v>258</x:v>
      </x:c>
      <x:c r="E105" s="31" t="s">
        <x:v>63</x:v>
      </x:c>
      <x:c r="F105" s="31" t="s">
        <x:v>64</x:v>
      </x:c>
      <x:c r="G105" s="31" t="s">
        <x:v>65</x:v>
      </x:c>
      <x:c r="H105" s="31" t="s">
        <x:v>53</x:v>
      </x:c>
      <x:c r="I105" s="31" t="s">
        <x:v>259</x:v>
      </x:c>
      <x:c r="J105" s="32" t="str">
        <x:f t="shared" si="6">IF(AND(E105&lt;&gt;"",F105&lt;&gt;"",G105&lt;&gt;"",H105&lt;&gt;"",I105&lt;&gt;""),"COMPLETE","PENDING")</x:f>
        <x:v>COMPLETE</x:v>
      </x:c>
      <x:c r="K105" s="33" t="str">
        <x:f t="shared" si="7">IF(J105&lt;&gt;"COMPLETE","",IF(OR(AND(F105="DEVANAGARI_TARGET_REQUIRED",G105&lt;&gt;"REQUIRED"),AND(F105="NO_TRANSLITERATION_ALLOWED",G105&lt;&gt;"PROHIBITED"),AND(F105="LATIN_IDENTITY_PREFERRED_TARGET_OPTIONAL",G105&lt;&gt;"OPTIONAL"),AND(F105="BOTH_EQUAL_REVIEW_REQUIRED",G105="PROHIBITED")),"CHECK","OK"))</x:f>
        <x:v>OK</x:v>
      </x:c>
    </x:row>
    <x:row r="106" ht="14.75">
      <x:c r="A106" s="28">
        <x:v>102</x:v>
      </x:c>
      <x:c r="B106" s="29" t="s">
        <x:v>260</x:v>
      </x:c>
      <x:c r="C106" s="30" t="s">
        <x:v>261</x:v>
      </x:c>
      <x:c r="D106" s="30" t="s">
        <x:v>261</x:v>
      </x:c>
      <x:c r="E106" s="31" t="s">
        <x:v>63</x:v>
      </x:c>
      <x:c r="F106" s="31" t="s">
        <x:v>64</x:v>
      </x:c>
      <x:c r="G106" s="31" t="s">
        <x:v>65</x:v>
      </x:c>
      <x:c r="H106" s="31" t="s">
        <x:v>53</x:v>
      </x:c>
      <x:c r="I106" s="31" t="s">
        <x:v>262</x:v>
      </x:c>
      <x:c r="J106" s="32" t="str">
        <x:f t="shared" si="6">IF(AND(E106&lt;&gt;"",F106&lt;&gt;"",G106&lt;&gt;"",H106&lt;&gt;"",I106&lt;&gt;""),"COMPLETE","PENDING")</x:f>
        <x:v>COMPLETE</x:v>
      </x:c>
      <x:c r="K106" s="33" t="str">
        <x:f t="shared" si="7">IF(J106&lt;&gt;"COMPLETE","",IF(OR(AND(F106="DEVANAGARI_TARGET_REQUIRED",G106&lt;&gt;"REQUIRED"),AND(F106="NO_TRANSLITERATION_ALLOWED",G106&lt;&gt;"PROHIBITED"),AND(F106="LATIN_IDENTITY_PREFERRED_TARGET_OPTIONAL",G106&lt;&gt;"OPTIONAL"),AND(F106="BOTH_EQUAL_REVIEW_REQUIRED",G106="PROHIBITED")),"CHECK","OK"))</x:f>
        <x:v>OK</x:v>
      </x:c>
    </x:row>
    <x:row r="107" ht="29.5">
      <x:c r="A107" s="28">
        <x:v>103</x:v>
      </x:c>
      <x:c r="B107" s="29" t="s">
        <x:v>263</x:v>
      </x:c>
      <x:c r="C107" s="30" t="s">
        <x:v>264</x:v>
      </x:c>
      <x:c r="D107" s="30" t="s">
        <x:v>264</x:v>
      </x:c>
      <x:c r="E107" s="31" t="s">
        <x:v>50</x:v>
      </x:c>
      <x:c r="F107" s="31" t="s">
        <x:v>51</x:v>
      </x:c>
      <x:c r="G107" s="31" t="s">
        <x:v>52</x:v>
      </x:c>
      <x:c r="H107" s="31" t="s">
        <x:v>53</x:v>
      </x:c>
      <x:c r="I107" s="31" t="s">
        <x:v>73</x:v>
      </x:c>
      <x:c r="J107" s="32" t="str">
        <x:f t="shared" si="6">IF(AND(E107&lt;&gt;"",F107&lt;&gt;"",G107&lt;&gt;"",H107&lt;&gt;"",I107&lt;&gt;""),"COMPLETE","PENDING")</x:f>
        <x:v>COMPLETE</x:v>
      </x:c>
      <x:c r="K107" s="33" t="str">
        <x:f t="shared" si="7">IF(J107&lt;&gt;"COMPLETE","",IF(OR(AND(F107="DEVANAGARI_TARGET_REQUIRED",G107&lt;&gt;"REQUIRED"),AND(F107="NO_TRANSLITERATION_ALLOWED",G107&lt;&gt;"PROHIBITED"),AND(F107="LATIN_IDENTITY_PREFERRED_TARGET_OPTIONAL",G107&lt;&gt;"OPTIONAL"),AND(F107="BOTH_EQUAL_REVIEW_REQUIRED",G107="PROHIBITED")),"CHECK","OK"))</x:f>
        <x:v>OK</x:v>
      </x:c>
    </x:row>
    <x:row r="108" ht="29.5">
      <x:c r="A108" s="28">
        <x:v>104</x:v>
      </x:c>
      <x:c r="B108" s="29" t="s">
        <x:v>265</x:v>
      </x:c>
      <x:c r="C108" s="30" t="s">
        <x:v>223</x:v>
      </x:c>
      <x:c r="D108" s="30" t="s">
        <x:v>223</x:v>
      </x:c>
      <x:c r="E108" s="31" t="s">
        <x:v>50</x:v>
      </x:c>
      <x:c r="F108" s="31" t="s">
        <x:v>51</x:v>
      </x:c>
      <x:c r="G108" s="31" t="s">
        <x:v>52</x:v>
      </x:c>
      <x:c r="H108" s="31" t="s">
        <x:v>53</x:v>
      </x:c>
      <x:c r="I108" s="31" t="s">
        <x:v>73</x:v>
      </x:c>
      <x:c r="J108" s="32" t="str">
        <x:f t="shared" si="6">IF(AND(E108&lt;&gt;"",F108&lt;&gt;"",G108&lt;&gt;"",H108&lt;&gt;"",I108&lt;&gt;""),"COMPLETE","PENDING")</x:f>
        <x:v>COMPLETE</x:v>
      </x:c>
      <x:c r="K108" s="33" t="str">
        <x:f t="shared" si="7">IF(J108&lt;&gt;"COMPLETE","",IF(OR(AND(F108="DEVANAGARI_TARGET_REQUIRED",G108&lt;&gt;"REQUIRED"),AND(F108="NO_TRANSLITERATION_ALLOWED",G108&lt;&gt;"PROHIBITED"),AND(F108="LATIN_IDENTITY_PREFERRED_TARGET_OPTIONAL",G108&lt;&gt;"OPTIONAL"),AND(F108="BOTH_EQUAL_REVIEW_REQUIRED",G108="PROHIBITED")),"CHECK","OK"))</x:f>
        <x:v>OK</x:v>
      </x:c>
    </x:row>
    <x:row r="109" ht="14.75">
      <x:c r="A109" s="28">
        <x:v>105</x:v>
      </x:c>
      <x:c r="B109" s="29" t="s">
        <x:v>266</x:v>
      </x:c>
      <x:c r="C109" s="30" t="s">
        <x:v>267</x:v>
      </x:c>
      <x:c r="D109" s="30" t="s">
        <x:v>267</x:v>
      </x:c>
      <x:c r="E109" s="31" t="s">
        <x:v>63</x:v>
      </x:c>
      <x:c r="F109" s="31" t="s">
        <x:v>64</x:v>
      </x:c>
      <x:c r="G109" s="31" t="s">
        <x:v>65</x:v>
      </x:c>
      <x:c r="H109" s="31" t="s">
        <x:v>53</x:v>
      </x:c>
      <x:c r="I109" s="31" t="s">
        <x:v>66</x:v>
      </x:c>
      <x:c r="J109" s="32" t="str">
        <x:f t="shared" si="6">IF(AND(E109&lt;&gt;"",F109&lt;&gt;"",G109&lt;&gt;"",H109&lt;&gt;"",I109&lt;&gt;""),"COMPLETE","PENDING")</x:f>
        <x:v>COMPLETE</x:v>
      </x:c>
      <x:c r="K109" s="33" t="str">
        <x:f t="shared" si="7">IF(J109&lt;&gt;"COMPLETE","",IF(OR(AND(F109="DEVANAGARI_TARGET_REQUIRED",G109&lt;&gt;"REQUIRED"),AND(F109="NO_TRANSLITERATION_ALLOWED",G109&lt;&gt;"PROHIBITED"),AND(F109="LATIN_IDENTITY_PREFERRED_TARGET_OPTIONAL",G109&lt;&gt;"OPTIONAL"),AND(F109="BOTH_EQUAL_REVIEW_REQUIRED",G109="PROHIBITED")),"CHECK","OK"))</x:f>
        <x:v>OK</x:v>
      </x:c>
    </x:row>
    <x:row r="110" ht="29.5">
      <x:c r="A110" s="28">
        <x:v>106</x:v>
      </x:c>
      <x:c r="B110" s="29" t="s">
        <x:v>268</x:v>
      </x:c>
      <x:c r="C110" s="30" t="s">
        <x:v>92</x:v>
      </x:c>
      <x:c r="D110" s="30" t="s">
        <x:v>92</x:v>
      </x:c>
      <x:c r="E110" s="31" t="s">
        <x:v>57</x:v>
      </x:c>
      <x:c r="F110" s="31" t="s">
        <x:v>58</x:v>
      </x:c>
      <x:c r="G110" s="31" t="s">
        <x:v>58</x:v>
      </x:c>
      <x:c r="H110" s="31" t="s">
        <x:v>59</x:v>
      </x:c>
      <x:c r="I110" s="31" t="s">
        <x:v>75</x:v>
      </x:c>
      <x:c r="J110" s="32" t="str">
        <x:f t="shared" si="6">IF(AND(E110&lt;&gt;"",F110&lt;&gt;"",G110&lt;&gt;"",H110&lt;&gt;"",I110&lt;&gt;""),"COMPLETE","PENDING")</x:f>
        <x:v>COMPLETE</x:v>
      </x:c>
      <x:c r="K110" s="33" t="str">
        <x:f t="shared" si="7">IF(J110&lt;&gt;"COMPLETE","",IF(OR(AND(F110="DEVANAGARI_TARGET_REQUIRED",G110&lt;&gt;"REQUIRED"),AND(F110="NO_TRANSLITERATION_ALLOWED",G110&lt;&gt;"PROHIBITED"),AND(F110="LATIN_IDENTITY_PREFERRED_TARGET_OPTIONAL",G110&lt;&gt;"OPTIONAL"),AND(F110="BOTH_EQUAL_REVIEW_REQUIRED",G110="PROHIBITED")),"CHECK","OK"))</x:f>
        <x:v>OK</x:v>
      </x:c>
    </x:row>
    <x:row r="111" ht="14.75">
      <x:c r="A111" s="28">
        <x:v>107</x:v>
      </x:c>
      <x:c r="B111" s="29" t="s">
        <x:v>269</x:v>
      </x:c>
      <x:c r="C111" s="30" t="s">
        <x:v>127</x:v>
      </x:c>
      <x:c r="D111" s="30" t="s">
        <x:v>127</x:v>
      </x:c>
      <x:c r="E111" s="31" t="s">
        <x:v>63</x:v>
      </x:c>
      <x:c r="F111" s="31" t="s">
        <x:v>64</x:v>
      </x:c>
      <x:c r="G111" s="31" t="s">
        <x:v>65</x:v>
      </x:c>
      <x:c r="H111" s="31" t="s">
        <x:v>53</x:v>
      </x:c>
      <x:c r="I111" s="31" t="s">
        <x:v>122</x:v>
      </x:c>
      <x:c r="J111" s="32" t="str">
        <x:f t="shared" si="6">IF(AND(E111&lt;&gt;"",F111&lt;&gt;"",G111&lt;&gt;"",H111&lt;&gt;"",I111&lt;&gt;""),"COMPLETE","PENDING")</x:f>
        <x:v>COMPLETE</x:v>
      </x:c>
      <x:c r="K111" s="33" t="str">
        <x:f t="shared" si="7">IF(J111&lt;&gt;"COMPLETE","",IF(OR(AND(F111="DEVANAGARI_TARGET_REQUIRED",G111&lt;&gt;"REQUIRED"),AND(F111="NO_TRANSLITERATION_ALLOWED",G111&lt;&gt;"PROHIBITED"),AND(F111="LATIN_IDENTITY_PREFERRED_TARGET_OPTIONAL",G111&lt;&gt;"OPTIONAL"),AND(F111="BOTH_EQUAL_REVIEW_REQUIRED",G111="PROHIBITED")),"CHECK","OK"))</x:f>
        <x:v>OK</x:v>
      </x:c>
    </x:row>
    <x:row r="112" ht="29.5">
      <x:c r="A112" s="28">
        <x:v>108</x:v>
      </x:c>
      <x:c r="B112" s="29" t="s">
        <x:v>270</x:v>
      </x:c>
      <x:c r="C112" s="30" t="s">
        <x:v>271</x:v>
      </x:c>
      <x:c r="D112" s="30" t="s">
        <x:v>271</x:v>
      </x:c>
      <x:c r="E112" s="31" t="s">
        <x:v>272</x:v>
      </x:c>
      <x:c r="F112" s="31" t="s">
        <x:v>64</x:v>
      </x:c>
      <x:c r="G112" s="31" t="s">
        <x:v>65</x:v>
      </x:c>
      <x:c r="H112" s="31" t="s">
        <x:v>53</x:v>
      </x:c>
      <x:c r="I112" s="31" t="s">
        <x:v>273</x:v>
      </x:c>
      <x:c r="J112" s="32" t="str">
        <x:f t="shared" si="6">IF(AND(E112&lt;&gt;"",F112&lt;&gt;"",G112&lt;&gt;"",H112&lt;&gt;"",I112&lt;&gt;""),"COMPLETE","PENDING")</x:f>
        <x:v>COMPLETE</x:v>
      </x:c>
      <x:c r="K112" s="33" t="str">
        <x:f t="shared" si="7">IF(J112&lt;&gt;"COMPLETE","",IF(OR(AND(F112="DEVANAGARI_TARGET_REQUIRED",G112&lt;&gt;"REQUIRED"),AND(F112="NO_TRANSLITERATION_ALLOWED",G112&lt;&gt;"PROHIBITED"),AND(F112="LATIN_IDENTITY_PREFERRED_TARGET_OPTIONAL",G112&lt;&gt;"OPTIONAL"),AND(F112="BOTH_EQUAL_REVIEW_REQUIRED",G112="PROHIBITED")),"CHECK","OK"))</x:f>
        <x:v>OK</x:v>
      </x:c>
    </x:row>
    <x:row r="113" ht="29.5">
      <x:c r="A113" s="28">
        <x:v>109</x:v>
      </x:c>
      <x:c r="B113" s="29" t="s">
        <x:v>274</x:v>
      </x:c>
      <x:c r="C113" s="30" t="s">
        <x:v>180</x:v>
      </x:c>
      <x:c r="D113" s="30" t="s">
        <x:v>180</x:v>
      </x:c>
      <x:c r="E113" s="31" t="s">
        <x:v>50</x:v>
      </x:c>
      <x:c r="F113" s="31" t="s">
        <x:v>51</x:v>
      </x:c>
      <x:c r="G113" s="31" t="s">
        <x:v>52</x:v>
      </x:c>
      <x:c r="H113" s="31" t="s">
        <x:v>53</x:v>
      </x:c>
      <x:c r="I113" s="31" t="s">
        <x:v>73</x:v>
      </x:c>
      <x:c r="J113" s="32" t="str">
        <x:f t="shared" si="6">IF(AND(E113&lt;&gt;"",F113&lt;&gt;"",G113&lt;&gt;"",H113&lt;&gt;"",I113&lt;&gt;""),"COMPLETE","PENDING")</x:f>
        <x:v>COMPLETE</x:v>
      </x:c>
      <x:c r="K113" s="33" t="str">
        <x:f t="shared" si="7">IF(J113&lt;&gt;"COMPLETE","",IF(OR(AND(F113="DEVANAGARI_TARGET_REQUIRED",G113&lt;&gt;"REQUIRED"),AND(F113="NO_TRANSLITERATION_ALLOWED",G113&lt;&gt;"PROHIBITED"),AND(F113="LATIN_IDENTITY_PREFERRED_TARGET_OPTIONAL",G113&lt;&gt;"OPTIONAL"),AND(F113="BOTH_EQUAL_REVIEW_REQUIRED",G113="PROHIBITED")),"CHECK","OK"))</x:f>
        <x:v>OK</x:v>
      </x:c>
    </x:row>
    <x:row r="114" ht="29.5">
      <x:c r="A114" s="28">
        <x:v>110</x:v>
      </x:c>
      <x:c r="B114" s="29" t="s">
        <x:v>275</x:v>
      </x:c>
      <x:c r="C114" s="30" t="s">
        <x:v>84</x:v>
      </x:c>
      <x:c r="D114" s="30" t="s">
        <x:v>84</x:v>
      </x:c>
      <x:c r="E114" s="31" t="s">
        <x:v>50</x:v>
      </x:c>
      <x:c r="F114" s="31" t="s">
        <x:v>51</x:v>
      </x:c>
      <x:c r="G114" s="31" t="s">
        <x:v>52</x:v>
      </x:c>
      <x:c r="H114" s="31" t="s">
        <x:v>53</x:v>
      </x:c>
      <x:c r="I114" s="31" t="s">
        <x:v>73</x:v>
      </x:c>
      <x:c r="J114" s="32" t="str">
        <x:f t="shared" si="6">IF(AND(E114&lt;&gt;"",F114&lt;&gt;"",G114&lt;&gt;"",H114&lt;&gt;"",I114&lt;&gt;""),"COMPLETE","PENDING")</x:f>
        <x:v>COMPLETE</x:v>
      </x:c>
      <x:c r="K114" s="33" t="str">
        <x:f t="shared" si="7">IF(J114&lt;&gt;"COMPLETE","",IF(OR(AND(F114="DEVANAGARI_TARGET_REQUIRED",G114&lt;&gt;"REQUIRED"),AND(F114="NO_TRANSLITERATION_ALLOWED",G114&lt;&gt;"PROHIBITED"),AND(F114="LATIN_IDENTITY_PREFERRED_TARGET_OPTIONAL",G114&lt;&gt;"OPTIONAL"),AND(F114="BOTH_EQUAL_REVIEW_REQUIRED",G114="PROHIBITED")),"CHECK","OK"))</x:f>
        <x:v>OK</x:v>
      </x:c>
    </x:row>
    <x:row r="115" ht="29.5">
      <x:c r="A115" s="28">
        <x:v>111</x:v>
      </x:c>
      <x:c r="B115" s="29" t="s">
        <x:v>276</x:v>
      </x:c>
      <x:c r="C115" s="30" t="s">
        <x:v>277</x:v>
      </x:c>
      <x:c r="D115" s="30" t="s">
        <x:v>277</x:v>
      </x:c>
      <x:c r="E115" s="31" t="s">
        <x:v>50</x:v>
      </x:c>
      <x:c r="F115" s="31" t="s">
        <x:v>51</x:v>
      </x:c>
      <x:c r="G115" s="31" t="s">
        <x:v>52</x:v>
      </x:c>
      <x:c r="H115" s="31" t="s">
        <x:v>53</x:v>
      </x:c>
      <x:c r="I115" s="31" t="s">
        <x:v>73</x:v>
      </x:c>
      <x:c r="J115" s="32" t="str">
        <x:f t="shared" si="6">IF(AND(E115&lt;&gt;"",F115&lt;&gt;"",G115&lt;&gt;"",H115&lt;&gt;"",I115&lt;&gt;""),"COMPLETE","PENDING")</x:f>
        <x:v>COMPLETE</x:v>
      </x:c>
      <x:c r="K115" s="33" t="str">
        <x:f t="shared" si="7">IF(J115&lt;&gt;"COMPLETE","",IF(OR(AND(F115="DEVANAGARI_TARGET_REQUIRED",G115&lt;&gt;"REQUIRED"),AND(F115="NO_TRANSLITERATION_ALLOWED",G115&lt;&gt;"PROHIBITED"),AND(F115="LATIN_IDENTITY_PREFERRED_TARGET_OPTIONAL",G115&lt;&gt;"OPTIONAL"),AND(F115="BOTH_EQUAL_REVIEW_REQUIRED",G115="PROHIBITED")),"CHECK","OK"))</x:f>
        <x:v>OK</x:v>
      </x:c>
    </x:row>
    <x:row r="116" ht="14.75">
      <x:c r="A116" s="28">
        <x:v>112</x:v>
      </x:c>
      <x:c r="B116" s="29" t="s">
        <x:v>278</x:v>
      </x:c>
      <x:c r="C116" s="30" t="s">
        <x:v>251</x:v>
      </x:c>
      <x:c r="D116" s="30" t="s">
        <x:v>251</x:v>
      </x:c>
      <x:c r="E116" s="31" t="s">
        <x:v>63</x:v>
      </x:c>
      <x:c r="F116" s="31" t="s">
        <x:v>64</x:v>
      </x:c>
      <x:c r="G116" s="31" t="s">
        <x:v>65</x:v>
      </x:c>
      <x:c r="H116" s="31" t="s">
        <x:v>53</x:v>
      </x:c>
      <x:c r="I116" s="31" t="s">
        <x:v>152</x:v>
      </x:c>
      <x:c r="J116" s="32" t="str">
        <x:f t="shared" si="6">IF(AND(E116&lt;&gt;"",F116&lt;&gt;"",G116&lt;&gt;"",H116&lt;&gt;"",I116&lt;&gt;""),"COMPLETE","PENDING")</x:f>
        <x:v>COMPLETE</x:v>
      </x:c>
      <x:c r="K116" s="33" t="str">
        <x:f t="shared" si="7">IF(J116&lt;&gt;"COMPLETE","",IF(OR(AND(F116="DEVANAGARI_TARGET_REQUIRED",G116&lt;&gt;"REQUIRED"),AND(F116="NO_TRANSLITERATION_ALLOWED",G116&lt;&gt;"PROHIBITED"),AND(F116="LATIN_IDENTITY_PREFERRED_TARGET_OPTIONAL",G116&lt;&gt;"OPTIONAL"),AND(F116="BOTH_EQUAL_REVIEW_REQUIRED",G116="PROHIBITED")),"CHECK","OK"))</x:f>
        <x:v>OK</x:v>
      </x:c>
    </x:row>
    <x:row r="117" ht="14.75">
      <x:c r="A117" s="28">
        <x:v>113</x:v>
      </x:c>
      <x:c r="B117" s="29" t="s">
        <x:v>279</x:v>
      </x:c>
      <x:c r="C117" s="30" t="s">
        <x:v>280</x:v>
      </x:c>
      <x:c r="D117" s="30" t="s">
        <x:v>280</x:v>
      </x:c>
      <x:c r="E117" s="31" t="s">
        <x:v>63</x:v>
      </x:c>
      <x:c r="F117" s="31" t="s">
        <x:v>64</x:v>
      </x:c>
      <x:c r="G117" s="31" t="s">
        <x:v>65</x:v>
      </x:c>
      <x:c r="H117" s="31" t="s">
        <x:v>53</x:v>
      </x:c>
      <x:c r="I117" s="31" t="s">
        <x:v>281</x:v>
      </x:c>
      <x:c r="J117" s="32" t="str">
        <x:f t="shared" si="6">IF(AND(E117&lt;&gt;"",F117&lt;&gt;"",G117&lt;&gt;"",H117&lt;&gt;"",I117&lt;&gt;""),"COMPLETE","PENDING")</x:f>
        <x:v>COMPLETE</x:v>
      </x:c>
      <x:c r="K117" s="33" t="str">
        <x:f t="shared" si="7">IF(J117&lt;&gt;"COMPLETE","",IF(OR(AND(F117="DEVANAGARI_TARGET_REQUIRED",G117&lt;&gt;"REQUIRED"),AND(F117="NO_TRANSLITERATION_ALLOWED",G117&lt;&gt;"PROHIBITED"),AND(F117="LATIN_IDENTITY_PREFERRED_TARGET_OPTIONAL",G117&lt;&gt;"OPTIONAL"),AND(F117="BOTH_EQUAL_REVIEW_REQUIRED",G117="PROHIBITED")),"CHECK","OK"))</x:f>
        <x:v>OK</x:v>
      </x:c>
    </x:row>
    <x:row r="118" ht="14.75">
      <x:c r="A118" s="28">
        <x:v>114</x:v>
      </x:c>
      <x:c r="B118" s="29" t="s">
        <x:v>282</x:v>
      </x:c>
      <x:c r="C118" s="30" t="s">
        <x:v>283</x:v>
      </x:c>
      <x:c r="D118" s="30" t="s">
        <x:v>283</x:v>
      </x:c>
      <x:c r="E118" s="31" t="s">
        <x:v>63</x:v>
      </x:c>
      <x:c r="F118" s="31" t="s">
        <x:v>64</x:v>
      </x:c>
      <x:c r="G118" s="31" t="s">
        <x:v>65</x:v>
      </x:c>
      <x:c r="H118" s="31" t="s">
        <x:v>53</x:v>
      </x:c>
      <x:c r="I118" s="31" t="s">
        <x:v>66</x:v>
      </x:c>
      <x:c r="J118" s="32" t="str">
        <x:f t="shared" si="6">IF(AND(E118&lt;&gt;"",F118&lt;&gt;"",G118&lt;&gt;"",H118&lt;&gt;"",I118&lt;&gt;""),"COMPLETE","PENDING")</x:f>
        <x:v>COMPLETE</x:v>
      </x:c>
      <x:c r="K118" s="33" t="str">
        <x:f t="shared" si="7">IF(J118&lt;&gt;"COMPLETE","",IF(OR(AND(F118="DEVANAGARI_TARGET_REQUIRED",G118&lt;&gt;"REQUIRED"),AND(F118="NO_TRANSLITERATION_ALLOWED",G118&lt;&gt;"PROHIBITED"),AND(F118="LATIN_IDENTITY_PREFERRED_TARGET_OPTIONAL",G118&lt;&gt;"OPTIONAL"),AND(F118="BOTH_EQUAL_REVIEW_REQUIRED",G118="PROHIBITED")),"CHECK","OK"))</x:f>
        <x:v>OK</x:v>
      </x:c>
    </x:row>
    <x:row r="119" ht="14.75">
      <x:c r="A119" s="28">
        <x:v>115</x:v>
      </x:c>
      <x:c r="B119" s="29" t="s">
        <x:v>284</x:v>
      </x:c>
      <x:c r="C119" s="30" t="s">
        <x:v>285</x:v>
      </x:c>
      <x:c r="D119" s="30" t="s">
        <x:v>285</x:v>
      </x:c>
      <x:c r="E119" s="31" t="s">
        <x:v>63</x:v>
      </x:c>
      <x:c r="F119" s="31" t="s">
        <x:v>64</x:v>
      </x:c>
      <x:c r="G119" s="31" t="s">
        <x:v>65</x:v>
      </x:c>
      <x:c r="H119" s="31" t="s">
        <x:v>53</x:v>
      </x:c>
      <x:c r="I119" s="31" t="s">
        <x:v>66</x:v>
      </x:c>
      <x:c r="J119" s="32" t="str">
        <x:f t="shared" si="6">IF(AND(E119&lt;&gt;"",F119&lt;&gt;"",G119&lt;&gt;"",H119&lt;&gt;"",I119&lt;&gt;""),"COMPLETE","PENDING")</x:f>
        <x:v>COMPLETE</x:v>
      </x:c>
      <x:c r="K119" s="33" t="str">
        <x:f t="shared" si="7">IF(J119&lt;&gt;"COMPLETE","",IF(OR(AND(F119="DEVANAGARI_TARGET_REQUIRED",G119&lt;&gt;"REQUIRED"),AND(F119="NO_TRANSLITERATION_ALLOWED",G119&lt;&gt;"PROHIBITED"),AND(F119="LATIN_IDENTITY_PREFERRED_TARGET_OPTIONAL",G119&lt;&gt;"OPTIONAL"),AND(F119="BOTH_EQUAL_REVIEW_REQUIRED",G119="PROHIBITED")),"CHECK","OK"))</x:f>
        <x:v>OK</x:v>
      </x:c>
    </x:row>
    <x:row r="120" ht="14.75">
      <x:c r="A120" s="28">
        <x:v>116</x:v>
      </x:c>
      <x:c r="B120" s="29" t="s">
        <x:v>286</x:v>
      </x:c>
      <x:c r="C120" s="30" t="s">
        <x:v>287</x:v>
      </x:c>
      <x:c r="D120" s="30" t="s">
        <x:v>287</x:v>
      </x:c>
      <x:c r="E120" s="31" t="s">
        <x:v>63</x:v>
      </x:c>
      <x:c r="F120" s="31" t="s">
        <x:v>64</x:v>
      </x:c>
      <x:c r="G120" s="31" t="s">
        <x:v>65</x:v>
      </x:c>
      <x:c r="H120" s="31" t="s">
        <x:v>53</x:v>
      </x:c>
      <x:c r="I120" s="31" t="s">
        <x:v>66</x:v>
      </x:c>
      <x:c r="J120" s="32" t="str">
        <x:f t="shared" si="6">IF(AND(E120&lt;&gt;"",F120&lt;&gt;"",G120&lt;&gt;"",H120&lt;&gt;"",I120&lt;&gt;""),"COMPLETE","PENDING")</x:f>
        <x:v>COMPLETE</x:v>
      </x:c>
      <x:c r="K120" s="33" t="str">
        <x:f t="shared" si="7">IF(J120&lt;&gt;"COMPLETE","",IF(OR(AND(F120="DEVANAGARI_TARGET_REQUIRED",G120&lt;&gt;"REQUIRED"),AND(F120="NO_TRANSLITERATION_ALLOWED",G120&lt;&gt;"PROHIBITED"),AND(F120="LATIN_IDENTITY_PREFERRED_TARGET_OPTIONAL",G120&lt;&gt;"OPTIONAL"),AND(F120="BOTH_EQUAL_REVIEW_REQUIRED",G120="PROHIBITED")),"CHECK","OK"))</x:f>
        <x:v>OK</x:v>
      </x:c>
    </x:row>
    <x:row r="121" ht="29.5">
      <x:c r="A121" s="28">
        <x:v>117</x:v>
      </x:c>
      <x:c r="B121" s="29" t="s">
        <x:v>288</x:v>
      </x:c>
      <x:c r="C121" s="30" t="s">
        <x:v>289</x:v>
      </x:c>
      <x:c r="D121" s="30" t="s">
        <x:v>289</x:v>
      </x:c>
      <x:c r="E121" s="31" t="s">
        <x:v>272</x:v>
      </x:c>
      <x:c r="F121" s="31" t="s">
        <x:v>64</x:v>
      </x:c>
      <x:c r="G121" s="31" t="s">
        <x:v>65</x:v>
      </x:c>
      <x:c r="H121" s="31" t="s">
        <x:v>53</x:v>
      </x:c>
      <x:c r="I121" s="31" t="s">
        <x:v>273</x:v>
      </x:c>
      <x:c r="J121" s="32" t="str">
        <x:f t="shared" si="6">IF(AND(E121&lt;&gt;"",F121&lt;&gt;"",G121&lt;&gt;"",H121&lt;&gt;"",I121&lt;&gt;""),"COMPLETE","PENDING")</x:f>
        <x:v>COMPLETE</x:v>
      </x:c>
      <x:c r="K121" s="33" t="str">
        <x:f t="shared" si="7">IF(J121&lt;&gt;"COMPLETE","",IF(OR(AND(F121="DEVANAGARI_TARGET_REQUIRED",G121&lt;&gt;"REQUIRED"),AND(F121="NO_TRANSLITERATION_ALLOWED",G121&lt;&gt;"PROHIBITED"),AND(F121="LATIN_IDENTITY_PREFERRED_TARGET_OPTIONAL",G121&lt;&gt;"OPTIONAL"),AND(F121="BOTH_EQUAL_REVIEW_REQUIRED",G121="PROHIBITED")),"CHECK","OK"))</x:f>
        <x:v>OK</x:v>
      </x:c>
    </x:row>
    <x:row r="122" ht="14.75">
      <x:c r="A122" s="28">
        <x:v>118</x:v>
      </x:c>
      <x:c r="B122" s="29" t="s">
        <x:v>290</x:v>
      </x:c>
      <x:c r="C122" s="30" t="s">
        <x:v>291</x:v>
      </x:c>
      <x:c r="D122" s="30" t="s">
        <x:v>291</x:v>
      </x:c>
      <x:c r="E122" s="31" t="s">
        <x:v>63</x:v>
      </x:c>
      <x:c r="F122" s="31" t="s">
        <x:v>64</x:v>
      </x:c>
      <x:c r="G122" s="31" t="s">
        <x:v>65</x:v>
      </x:c>
      <x:c r="H122" s="31" t="s">
        <x:v>53</x:v>
      </x:c>
      <x:c r="I122" s="31" t="s">
        <x:v>66</x:v>
      </x:c>
      <x:c r="J122" s="32" t="str">
        <x:f t="shared" si="6">IF(AND(E122&lt;&gt;"",F122&lt;&gt;"",G122&lt;&gt;"",H122&lt;&gt;"",I122&lt;&gt;""),"COMPLETE","PENDING")</x:f>
        <x:v>COMPLETE</x:v>
      </x:c>
      <x:c r="K122" s="33" t="str">
        <x:f t="shared" si="7">IF(J122&lt;&gt;"COMPLETE","",IF(OR(AND(F122="DEVANAGARI_TARGET_REQUIRED",G122&lt;&gt;"REQUIRED"),AND(F122="NO_TRANSLITERATION_ALLOWED",G122&lt;&gt;"PROHIBITED"),AND(F122="LATIN_IDENTITY_PREFERRED_TARGET_OPTIONAL",G122&lt;&gt;"OPTIONAL"),AND(F122="BOTH_EQUAL_REVIEW_REQUIRED",G122="PROHIBITED")),"CHECK","OK"))</x:f>
        <x:v>OK</x:v>
      </x:c>
    </x:row>
    <x:row r="123" ht="14.75">
      <x:c r="A123" s="28">
        <x:v>119</x:v>
      </x:c>
      <x:c r="B123" s="29" t="s">
        <x:v>292</x:v>
      </x:c>
      <x:c r="C123" s="30" t="s">
        <x:v>293</x:v>
      </x:c>
      <x:c r="D123" s="30" t="s">
        <x:v>293</x:v>
      </x:c>
      <x:c r="E123" s="31" t="s">
        <x:v>63</x:v>
      </x:c>
      <x:c r="F123" s="31" t="s">
        <x:v>64</x:v>
      </x:c>
      <x:c r="G123" s="31" t="s">
        <x:v>65</x:v>
      </x:c>
      <x:c r="H123" s="31" t="s">
        <x:v>53</x:v>
      </x:c>
      <x:c r="I123" s="31" t="s">
        <x:v>66</x:v>
      </x:c>
      <x:c r="J123" s="32" t="str">
        <x:f t="shared" si="6">IF(AND(E123&lt;&gt;"",F123&lt;&gt;"",G123&lt;&gt;"",H123&lt;&gt;"",I123&lt;&gt;""),"COMPLETE","PENDING")</x:f>
        <x:v>COMPLETE</x:v>
      </x:c>
      <x:c r="K123" s="33" t="str">
        <x:f t="shared" si="7">IF(J123&lt;&gt;"COMPLETE","",IF(OR(AND(F123="DEVANAGARI_TARGET_REQUIRED",G123&lt;&gt;"REQUIRED"),AND(F123="NO_TRANSLITERATION_ALLOWED",G123&lt;&gt;"PROHIBITED"),AND(F123="LATIN_IDENTITY_PREFERRED_TARGET_OPTIONAL",G123&lt;&gt;"OPTIONAL"),AND(F123="BOTH_EQUAL_REVIEW_REQUIRED",G123="PROHIBITED")),"CHECK","OK"))</x:f>
        <x:v>OK</x:v>
      </x:c>
    </x:row>
    <x:row r="124" ht="29.5">
      <x:c r="A124" s="28">
        <x:v>120</x:v>
      </x:c>
      <x:c r="B124" s="29" t="s">
        <x:v>294</x:v>
      </x:c>
      <x:c r="C124" s="30" t="s">
        <x:v>162</x:v>
      </x:c>
      <x:c r="D124" s="30" t="s">
        <x:v>162</x:v>
      </x:c>
      <x:c r="E124" s="31" t="s">
        <x:v>50</x:v>
      </x:c>
      <x:c r="F124" s="31" t="s">
        <x:v>51</x:v>
      </x:c>
      <x:c r="G124" s="31" t="s">
        <x:v>52</x:v>
      </x:c>
      <x:c r="H124" s="31" t="s">
        <x:v>53</x:v>
      </x:c>
      <x:c r="I124" s="31" t="s">
        <x:v>73</x:v>
      </x:c>
      <x:c r="J124" s="32" t="str">
        <x:f t="shared" si="6">IF(AND(E124&lt;&gt;"",F124&lt;&gt;"",G124&lt;&gt;"",H124&lt;&gt;"",I124&lt;&gt;""),"COMPLETE","PENDING")</x:f>
        <x:v>COMPLETE</x:v>
      </x:c>
      <x:c r="K124" s="33" t="str">
        <x:f t="shared" si="7">IF(J124&lt;&gt;"COMPLETE","",IF(OR(AND(F124="DEVANAGARI_TARGET_REQUIRED",G124&lt;&gt;"REQUIRED"),AND(F124="NO_TRANSLITERATION_ALLOWED",G124&lt;&gt;"PROHIBITED"),AND(F124="LATIN_IDENTITY_PREFERRED_TARGET_OPTIONAL",G124&lt;&gt;"OPTIONAL"),AND(F124="BOTH_EQUAL_REVIEW_REQUIRED",G124="PROHIBITED")),"CHECK","OK"))</x:f>
        <x:v>OK</x:v>
      </x:c>
    </x:row>
    <x:row r="125" ht="29.5">
      <x:c r="A125" s="28">
        <x:v>121</x:v>
      </x:c>
      <x:c r="B125" s="29" t="s">
        <x:v>295</x:v>
      </x:c>
      <x:c r="C125" s="30" t="s">
        <x:v>296</x:v>
      </x:c>
      <x:c r="D125" s="30" t="s">
        <x:v>296</x:v>
      </x:c>
      <x:c r="E125" s="31" t="s">
        <x:v>50</x:v>
      </x:c>
      <x:c r="F125" s="31" t="s">
        <x:v>51</x:v>
      </x:c>
      <x:c r="G125" s="31" t="s">
        <x:v>52</x:v>
      </x:c>
      <x:c r="H125" s="31" t="s">
        <x:v>53</x:v>
      </x:c>
      <x:c r="I125" s="31" t="s">
        <x:v>73</x:v>
      </x:c>
      <x:c r="J125" s="32" t="str">
        <x:f t="shared" si="6">IF(AND(E125&lt;&gt;"",F125&lt;&gt;"",G125&lt;&gt;"",H125&lt;&gt;"",I125&lt;&gt;""),"COMPLETE","PENDING")</x:f>
        <x:v>COMPLETE</x:v>
      </x:c>
      <x:c r="K125" s="33" t="str">
        <x:f t="shared" si="7">IF(J125&lt;&gt;"COMPLETE","",IF(OR(AND(F125="DEVANAGARI_TARGET_REQUIRED",G125&lt;&gt;"REQUIRED"),AND(F125="NO_TRANSLITERATION_ALLOWED",G125&lt;&gt;"PROHIBITED"),AND(F125="LATIN_IDENTITY_PREFERRED_TARGET_OPTIONAL",G125&lt;&gt;"OPTIONAL"),AND(F125="BOTH_EQUAL_REVIEW_REQUIRED",G125="PROHIBITED")),"CHECK","OK"))</x:f>
        <x:v>OK</x:v>
      </x:c>
    </x:row>
    <x:row r="126" ht="14.75">
      <x:c r="A126" s="28">
        <x:v>122</x:v>
      </x:c>
      <x:c r="B126" s="29" t="s">
        <x:v>297</x:v>
      </x:c>
      <x:c r="C126" s="30" t="s">
        <x:v>298</x:v>
      </x:c>
      <x:c r="D126" s="30" t="s">
        <x:v>298</x:v>
      </x:c>
      <x:c r="E126" s="31" t="s">
        <x:v>63</x:v>
      </x:c>
      <x:c r="F126" s="31" t="s">
        <x:v>64</x:v>
      </x:c>
      <x:c r="G126" s="31" t="s">
        <x:v>65</x:v>
      </x:c>
      <x:c r="H126" s="31" t="s">
        <x:v>53</x:v>
      </x:c>
      <x:c r="I126" s="31" t="s">
        <x:v>66</x:v>
      </x:c>
      <x:c r="J126" s="32" t="str">
        <x:f t="shared" si="6">IF(AND(E126&lt;&gt;"",F126&lt;&gt;"",G126&lt;&gt;"",H126&lt;&gt;"",I126&lt;&gt;""),"COMPLETE","PENDING")</x:f>
        <x:v>COMPLETE</x:v>
      </x:c>
      <x:c r="K126" s="33" t="str">
        <x:f t="shared" si="7">IF(J126&lt;&gt;"COMPLETE","",IF(OR(AND(F126="DEVANAGARI_TARGET_REQUIRED",G126&lt;&gt;"REQUIRED"),AND(F126="NO_TRANSLITERATION_ALLOWED",G126&lt;&gt;"PROHIBITED"),AND(F126="LATIN_IDENTITY_PREFERRED_TARGET_OPTIONAL",G126&lt;&gt;"OPTIONAL"),AND(F126="BOTH_EQUAL_REVIEW_REQUIRED",G126="PROHIBITED")),"CHECK","OK"))</x:f>
        <x:v>OK</x:v>
      </x:c>
    </x:row>
    <x:row r="127" ht="14.75">
      <x:c r="A127" s="28">
        <x:v>123</x:v>
      </x:c>
      <x:c r="B127" s="29" t="s">
        <x:v>299</x:v>
      </x:c>
      <x:c r="C127" s="30" t="s">
        <x:v>300</x:v>
      </x:c>
      <x:c r="D127" s="30" t="s">
        <x:v>300</x:v>
      </x:c>
      <x:c r="E127" s="31" t="s">
        <x:v>63</x:v>
      </x:c>
      <x:c r="F127" s="31" t="s">
        <x:v>64</x:v>
      </x:c>
      <x:c r="G127" s="31" t="s">
        <x:v>65</x:v>
      </x:c>
      <x:c r="H127" s="31" t="s">
        <x:v>53</x:v>
      </x:c>
      <x:c r="I127" s="31" t="s">
        <x:v>66</x:v>
      </x:c>
      <x:c r="J127" s="32" t="str">
        <x:f t="shared" si="6">IF(AND(E127&lt;&gt;"",F127&lt;&gt;"",G127&lt;&gt;"",H127&lt;&gt;"",I127&lt;&gt;""),"COMPLETE","PENDING")</x:f>
        <x:v>COMPLETE</x:v>
      </x:c>
      <x:c r="K127" s="33" t="str">
        <x:f t="shared" si="7">IF(J127&lt;&gt;"COMPLETE","",IF(OR(AND(F127="DEVANAGARI_TARGET_REQUIRED",G127&lt;&gt;"REQUIRED"),AND(F127="NO_TRANSLITERATION_ALLOWED",G127&lt;&gt;"PROHIBITED"),AND(F127="LATIN_IDENTITY_PREFERRED_TARGET_OPTIONAL",G127&lt;&gt;"OPTIONAL"),AND(F127="BOTH_EQUAL_REVIEW_REQUIRED",G127="PROHIBITED")),"CHECK","OK"))</x:f>
        <x:v>OK</x:v>
      </x:c>
    </x:row>
    <x:row r="128" ht="29.5">
      <x:c r="A128" s="28">
        <x:v>124</x:v>
      </x:c>
      <x:c r="B128" s="29" t="s">
        <x:v>301</x:v>
      </x:c>
      <x:c r="C128" s="30" t="s">
        <x:v>302</x:v>
      </x:c>
      <x:c r="D128" s="30" t="s">
        <x:v>302</x:v>
      </x:c>
      <x:c r="E128" s="31" t="s">
        <x:v>50</x:v>
      </x:c>
      <x:c r="F128" s="31" t="s">
        <x:v>51</x:v>
      </x:c>
      <x:c r="G128" s="31" t="s">
        <x:v>52</x:v>
      </x:c>
      <x:c r="H128" s="31" t="s">
        <x:v>53</x:v>
      </x:c>
      <x:c r="I128" s="31" t="s">
        <x:v>73</x:v>
      </x:c>
      <x:c r="J128" s="32" t="str">
        <x:f t="shared" si="6">IF(AND(E128&lt;&gt;"",F128&lt;&gt;"",G128&lt;&gt;"",H128&lt;&gt;"",I128&lt;&gt;""),"COMPLETE","PENDING")</x:f>
        <x:v>COMPLETE</x:v>
      </x:c>
      <x:c r="K128" s="33" t="str">
        <x:f t="shared" si="7">IF(J128&lt;&gt;"COMPLETE","",IF(OR(AND(F128="DEVANAGARI_TARGET_REQUIRED",G128&lt;&gt;"REQUIRED"),AND(F128="NO_TRANSLITERATION_ALLOWED",G128&lt;&gt;"PROHIBITED"),AND(F128="LATIN_IDENTITY_PREFERRED_TARGET_OPTIONAL",G128&lt;&gt;"OPTIONAL"),AND(F128="BOTH_EQUAL_REVIEW_REQUIRED",G128="PROHIBITED")),"CHECK","OK"))</x:f>
        <x:v>OK</x:v>
      </x:c>
    </x:row>
    <x:row r="129" ht="29.5">
      <x:c r="A129" s="28">
        <x:v>125</x:v>
      </x:c>
      <x:c r="B129" s="29" t="s">
        <x:v>303</x:v>
      </x:c>
      <x:c r="C129" s="30" t="s">
        <x:v>151</x:v>
      </x:c>
      <x:c r="D129" s="30" t="s">
        <x:v>124</x:v>
      </x:c>
      <x:c r="E129" s="31" t="s">
        <x:v>63</x:v>
      </x:c>
      <x:c r="F129" s="31" t="s">
        <x:v>64</x:v>
      </x:c>
      <x:c r="G129" s="31" t="s">
        <x:v>65</x:v>
      </x:c>
      <x:c r="H129" s="31" t="s">
        <x:v>53</x:v>
      </x:c>
      <x:c r="I129" s="31" t="s">
        <x:v>152</x:v>
      </x:c>
      <x:c r="J129" s="32" t="str">
        <x:f t="shared" si="6">IF(AND(E129&lt;&gt;"",F129&lt;&gt;"",G129&lt;&gt;"",H129&lt;&gt;"",I129&lt;&gt;""),"COMPLETE","PENDING")</x:f>
        <x:v>COMPLETE</x:v>
      </x:c>
      <x:c r="K129" s="33" t="str">
        <x:f t="shared" si="7">IF(J129&lt;&gt;"COMPLETE","",IF(OR(AND(F129="DEVANAGARI_TARGET_REQUIRED",G129&lt;&gt;"REQUIRED"),AND(F129="NO_TRANSLITERATION_ALLOWED",G129&lt;&gt;"PROHIBITED"),AND(F129="LATIN_IDENTITY_PREFERRED_TARGET_OPTIONAL",G129&lt;&gt;"OPTIONAL"),AND(F129="BOTH_EQUAL_REVIEW_REQUIRED",G129="PROHIBITED")),"CHECK","OK"))</x:f>
        <x:v>OK</x:v>
      </x:c>
    </x:row>
    <x:row r="130" ht="14.75">
      <x:c r="A130" s="28">
        <x:v>126</x:v>
      </x:c>
      <x:c r="B130" s="29" t="s">
        <x:v>304</x:v>
      </x:c>
      <x:c r="C130" s="30" t="s">
        <x:v>305</x:v>
      </x:c>
      <x:c r="D130" s="30" t="s">
        <x:v>305</x:v>
      </x:c>
      <x:c r="E130" s="31" t="s">
        <x:v>63</x:v>
      </x:c>
      <x:c r="F130" s="31" t="s">
        <x:v>64</x:v>
      </x:c>
      <x:c r="G130" s="31" t="s">
        <x:v>65</x:v>
      </x:c>
      <x:c r="H130" s="31" t="s">
        <x:v>53</x:v>
      </x:c>
      <x:c r="I130" s="31" t="s">
        <x:v>306</x:v>
      </x:c>
      <x:c r="J130" s="32" t="str">
        <x:f t="shared" si="6">IF(AND(E130&lt;&gt;"",F130&lt;&gt;"",G130&lt;&gt;"",H130&lt;&gt;"",I130&lt;&gt;""),"COMPLETE","PENDING")</x:f>
        <x:v>COMPLETE</x:v>
      </x:c>
      <x:c r="K130" s="33" t="str">
        <x:f t="shared" si="7">IF(J130&lt;&gt;"COMPLETE","",IF(OR(AND(F130="DEVANAGARI_TARGET_REQUIRED",G130&lt;&gt;"REQUIRED"),AND(F130="NO_TRANSLITERATION_ALLOWED",G130&lt;&gt;"PROHIBITED"),AND(F130="LATIN_IDENTITY_PREFERRED_TARGET_OPTIONAL",G130&lt;&gt;"OPTIONAL"),AND(F130="BOTH_EQUAL_REVIEW_REQUIRED",G130="PROHIBITED")),"CHECK","OK"))</x:f>
        <x:v>OK</x:v>
      </x:c>
    </x:row>
    <x:row r="131" ht="29.5">
      <x:c r="A131" s="28">
        <x:v>127</x:v>
      </x:c>
      <x:c r="B131" s="29" t="s">
        <x:v>307</x:v>
      </x:c>
      <x:c r="C131" s="30" t="s">
        <x:v>174</x:v>
      </x:c>
      <x:c r="D131" s="30" t="s">
        <x:v>174</x:v>
      </x:c>
      <x:c r="E131" s="31" t="s">
        <x:v>50</x:v>
      </x:c>
      <x:c r="F131" s="31" t="s">
        <x:v>51</x:v>
      </x:c>
      <x:c r="G131" s="31" t="s">
        <x:v>52</x:v>
      </x:c>
      <x:c r="H131" s="31" t="s">
        <x:v>53</x:v>
      </x:c>
      <x:c r="I131" s="31" t="s">
        <x:v>73</x:v>
      </x:c>
      <x:c r="J131" s="32" t="str">
        <x:f t="shared" si="6">IF(AND(E131&lt;&gt;"",F131&lt;&gt;"",G131&lt;&gt;"",H131&lt;&gt;"",I131&lt;&gt;""),"COMPLETE","PENDING")</x:f>
        <x:v>COMPLETE</x:v>
      </x:c>
      <x:c r="K131" s="33" t="str">
        <x:f t="shared" si="7">IF(J131&lt;&gt;"COMPLETE","",IF(OR(AND(F131="DEVANAGARI_TARGET_REQUIRED",G131&lt;&gt;"REQUIRED"),AND(F131="NO_TRANSLITERATION_ALLOWED",G131&lt;&gt;"PROHIBITED"),AND(F131="LATIN_IDENTITY_PREFERRED_TARGET_OPTIONAL",G131&lt;&gt;"OPTIONAL"),AND(F131="BOTH_EQUAL_REVIEW_REQUIRED",G131="PROHIBITED")),"CHECK","OK"))</x:f>
        <x:v>OK</x:v>
      </x:c>
    </x:row>
    <x:row r="132" ht="29.5">
      <x:c r="A132" s="28">
        <x:v>128</x:v>
      </x:c>
      <x:c r="B132" s="29" t="s">
        <x:v>308</x:v>
      </x:c>
      <x:c r="C132" s="30" t="s">
        <x:v>309</x:v>
      </x:c>
      <x:c r="D132" s="30" t="s">
        <x:v>309</x:v>
      </x:c>
      <x:c r="E132" s="31" t="s">
        <x:v>50</x:v>
      </x:c>
      <x:c r="F132" s="31" t="s">
        <x:v>51</x:v>
      </x:c>
      <x:c r="G132" s="31" t="s">
        <x:v>52</x:v>
      </x:c>
      <x:c r="H132" s="31" t="s">
        <x:v>53</x:v>
      </x:c>
      <x:c r="I132" s="31" t="s">
        <x:v>73</x:v>
      </x:c>
      <x:c r="J132" s="32" t="str">
        <x:f t="shared" si="6">IF(AND(E132&lt;&gt;"",F132&lt;&gt;"",G132&lt;&gt;"",H132&lt;&gt;"",I132&lt;&gt;""),"COMPLETE","PENDING")</x:f>
        <x:v>COMPLETE</x:v>
      </x:c>
      <x:c r="K132" s="33" t="str">
        <x:f t="shared" si="7">IF(J132&lt;&gt;"COMPLETE","",IF(OR(AND(F132="DEVANAGARI_TARGET_REQUIRED",G132&lt;&gt;"REQUIRED"),AND(F132="NO_TRANSLITERATION_ALLOWED",G132&lt;&gt;"PROHIBITED"),AND(F132="LATIN_IDENTITY_PREFERRED_TARGET_OPTIONAL",G132&lt;&gt;"OPTIONAL"),AND(F132="BOTH_EQUAL_REVIEW_REQUIRED",G132="PROHIBITED")),"CHECK","OK"))</x:f>
        <x:v>OK</x:v>
      </x:c>
    </x:row>
    <x:row r="133" ht="14.75">
      <x:c r="A133" s="28">
        <x:v>129</x:v>
      </x:c>
      <x:c r="B133" s="29" t="s">
        <x:v>310</x:v>
      </x:c>
      <x:c r="C133" s="30" t="s">
        <x:v>229</x:v>
      </x:c>
      <x:c r="D133" s="30" t="s">
        <x:v>229</x:v>
      </x:c>
      <x:c r="E133" s="31" t="s">
        <x:v>63</x:v>
      </x:c>
      <x:c r="F133" s="31" t="s">
        <x:v>64</x:v>
      </x:c>
      <x:c r="G133" s="31" t="s">
        <x:v>65</x:v>
      </x:c>
      <x:c r="H133" s="31" t="s">
        <x:v>53</x:v>
      </x:c>
      <x:c r="I133" s="31" t="s">
        <x:v>122</x:v>
      </x:c>
      <x:c r="J133" s="32" t="str">
        <x:f t="shared" ref="J133:J153" si="8">IF(AND(E133&lt;&gt;"",F133&lt;&gt;"",G133&lt;&gt;"",H133&lt;&gt;"",I133&lt;&gt;""),"COMPLETE","PENDING")</x:f>
        <x:v>COMPLETE</x:v>
      </x:c>
      <x:c r="K133" s="33" t="str">
        <x:f t="shared" ref="K133:K153" si="9">IF(J133&lt;&gt;"COMPLETE","",IF(OR(AND(F133="DEVANAGARI_TARGET_REQUIRED",G133&lt;&gt;"REQUIRED"),AND(F133="NO_TRANSLITERATION_ALLOWED",G133&lt;&gt;"PROHIBITED"),AND(F133="LATIN_IDENTITY_PREFERRED_TARGET_OPTIONAL",G133&lt;&gt;"OPTIONAL"),AND(F133="BOTH_EQUAL_REVIEW_REQUIRED",G133="PROHIBITED")),"CHECK","OK"))</x:f>
        <x:v>OK</x:v>
      </x:c>
    </x:row>
    <x:row r="134" ht="29.5">
      <x:c r="A134" s="28">
        <x:v>130</x:v>
      </x:c>
      <x:c r="B134" s="29" t="s">
        <x:v>311</x:v>
      </x:c>
      <x:c r="C134" s="30" t="s">
        <x:v>112</x:v>
      </x:c>
      <x:c r="D134" s="30" t="s">
        <x:v>112</x:v>
      </x:c>
      <x:c r="E134" s="31" t="s">
        <x:v>57</x:v>
      </x:c>
      <x:c r="F134" s="31" t="s">
        <x:v>58</x:v>
      </x:c>
      <x:c r="G134" s="31" t="s">
        <x:v>58</x:v>
      </x:c>
      <x:c r="H134" s="31" t="s">
        <x:v>59</x:v>
      </x:c>
      <x:c r="I134" s="31" t="s">
        <x:v>75</x:v>
      </x:c>
      <x:c r="J134" s="32" t="str">
        <x:f t="shared" si="8">IF(AND(E134&lt;&gt;"",F134&lt;&gt;"",G134&lt;&gt;"",H134&lt;&gt;"",I134&lt;&gt;""),"COMPLETE","PENDING")</x:f>
        <x:v>COMPLETE</x:v>
      </x:c>
      <x:c r="K134" s="33" t="str">
        <x:f t="shared" si="9">IF(J134&lt;&gt;"COMPLETE","",IF(OR(AND(F134="DEVANAGARI_TARGET_REQUIRED",G134&lt;&gt;"REQUIRED"),AND(F134="NO_TRANSLITERATION_ALLOWED",G134&lt;&gt;"PROHIBITED"),AND(F134="LATIN_IDENTITY_PREFERRED_TARGET_OPTIONAL",G134&lt;&gt;"OPTIONAL"),AND(F134="BOTH_EQUAL_REVIEW_REQUIRED",G134="PROHIBITED")),"CHECK","OK"))</x:f>
        <x:v>OK</x:v>
      </x:c>
    </x:row>
    <x:row r="135" ht="29.5">
      <x:c r="A135" s="28">
        <x:v>131</x:v>
      </x:c>
      <x:c r="B135" s="29" t="s">
        <x:v>312</x:v>
      </x:c>
      <x:c r="C135" s="30" t="s">
        <x:v>199</x:v>
      </x:c>
      <x:c r="D135" s="30" t="s">
        <x:v>199</x:v>
      </x:c>
      <x:c r="E135" s="31" t="s">
        <x:v>50</x:v>
      </x:c>
      <x:c r="F135" s="31" t="s">
        <x:v>51</x:v>
      </x:c>
      <x:c r="G135" s="31" t="s">
        <x:v>52</x:v>
      </x:c>
      <x:c r="H135" s="31" t="s">
        <x:v>53</x:v>
      </x:c>
      <x:c r="I135" s="31" t="s">
        <x:v>73</x:v>
      </x:c>
      <x:c r="J135" s="32" t="str">
        <x:f t="shared" si="8">IF(AND(E135&lt;&gt;"",F135&lt;&gt;"",G135&lt;&gt;"",H135&lt;&gt;"",I135&lt;&gt;""),"COMPLETE","PENDING")</x:f>
        <x:v>COMPLETE</x:v>
      </x:c>
      <x:c r="K135" s="33" t="str">
        <x:f t="shared" si="9">IF(J135&lt;&gt;"COMPLETE","",IF(OR(AND(F135="DEVANAGARI_TARGET_REQUIRED",G135&lt;&gt;"REQUIRED"),AND(F135="NO_TRANSLITERATION_ALLOWED",G135&lt;&gt;"PROHIBITED"),AND(F135="LATIN_IDENTITY_PREFERRED_TARGET_OPTIONAL",G135&lt;&gt;"OPTIONAL"),AND(F135="BOTH_EQUAL_REVIEW_REQUIRED",G135="PROHIBITED")),"CHECK","OK"))</x:f>
        <x:v>OK</x:v>
      </x:c>
    </x:row>
    <x:row r="136" ht="14.75">
      <x:c r="A136" s="28">
        <x:v>132</x:v>
      </x:c>
      <x:c r="B136" s="29" t="s">
        <x:v>313</x:v>
      </x:c>
      <x:c r="C136" s="30" t="s">
        <x:v>158</x:v>
      </x:c>
      <x:c r="D136" s="30" t="s">
        <x:v>158</x:v>
      </x:c>
      <x:c r="E136" s="31" t="s">
        <x:v>63</x:v>
      </x:c>
      <x:c r="F136" s="31" t="s">
        <x:v>64</x:v>
      </x:c>
      <x:c r="G136" s="31" t="s">
        <x:v>65</x:v>
      </x:c>
      <x:c r="H136" s="31" t="s">
        <x:v>53</x:v>
      </x:c>
      <x:c r="I136" s="31" t="s">
        <x:v>152</x:v>
      </x:c>
      <x:c r="J136" s="32" t="str">
        <x:f t="shared" si="8">IF(AND(E136&lt;&gt;"",F136&lt;&gt;"",G136&lt;&gt;"",H136&lt;&gt;"",I136&lt;&gt;""),"COMPLETE","PENDING")</x:f>
        <x:v>COMPLETE</x:v>
      </x:c>
      <x:c r="K136" s="33" t="str">
        <x:f t="shared" si="9">IF(J136&lt;&gt;"COMPLETE","",IF(OR(AND(F136="DEVANAGARI_TARGET_REQUIRED",G136&lt;&gt;"REQUIRED"),AND(F136="NO_TRANSLITERATION_ALLOWED",G136&lt;&gt;"PROHIBITED"),AND(F136="LATIN_IDENTITY_PREFERRED_TARGET_OPTIONAL",G136&lt;&gt;"OPTIONAL"),AND(F136="BOTH_EQUAL_REVIEW_REQUIRED",G136="PROHIBITED")),"CHECK","OK"))</x:f>
        <x:v>OK</x:v>
      </x:c>
    </x:row>
    <x:row r="137" ht="29.5">
      <x:c r="A137" s="28">
        <x:v>133</x:v>
      </x:c>
      <x:c r="B137" s="29" t="s">
        <x:v>314</x:v>
      </x:c>
      <x:c r="C137" s="30" t="s">
        <x:v>92</x:v>
      </x:c>
      <x:c r="D137" s="30" t="s">
        <x:v>92</x:v>
      </x:c>
      <x:c r="E137" s="31" t="s">
        <x:v>57</x:v>
      </x:c>
      <x:c r="F137" s="31" t="s">
        <x:v>58</x:v>
      </x:c>
      <x:c r="G137" s="31" t="s">
        <x:v>58</x:v>
      </x:c>
      <x:c r="H137" s="31" t="s">
        <x:v>59</x:v>
      </x:c>
      <x:c r="I137" s="31" t="s">
        <x:v>75</x:v>
      </x:c>
      <x:c r="J137" s="32" t="str">
        <x:f t="shared" si="8">IF(AND(E137&lt;&gt;"",F137&lt;&gt;"",G137&lt;&gt;"",H137&lt;&gt;"",I137&lt;&gt;""),"COMPLETE","PENDING")</x:f>
        <x:v>COMPLETE</x:v>
      </x:c>
      <x:c r="K137" s="33" t="str">
        <x:f t="shared" si="9">IF(J137&lt;&gt;"COMPLETE","",IF(OR(AND(F137="DEVANAGARI_TARGET_REQUIRED",G137&lt;&gt;"REQUIRED"),AND(F137="NO_TRANSLITERATION_ALLOWED",G137&lt;&gt;"PROHIBITED"),AND(F137="LATIN_IDENTITY_PREFERRED_TARGET_OPTIONAL",G137&lt;&gt;"OPTIONAL"),AND(F137="BOTH_EQUAL_REVIEW_REQUIRED",G137="PROHIBITED")),"CHECK","OK"))</x:f>
        <x:v>OK</x:v>
      </x:c>
    </x:row>
    <x:row r="138" ht="29.5">
      <x:c r="A138" s="28">
        <x:v>134</x:v>
      </x:c>
      <x:c r="B138" s="29" t="s">
        <x:v>315</x:v>
      </x:c>
      <x:c r="C138" s="30" t="s">
        <x:v>220</x:v>
      </x:c>
      <x:c r="D138" s="30" t="s">
        <x:v>220</x:v>
      </x:c>
      <x:c r="E138" s="31" t="s">
        <x:v>50</x:v>
      </x:c>
      <x:c r="F138" s="31" t="s">
        <x:v>51</x:v>
      </x:c>
      <x:c r="G138" s="31" t="s">
        <x:v>52</x:v>
      </x:c>
      <x:c r="H138" s="31" t="s">
        <x:v>53</x:v>
      </x:c>
      <x:c r="I138" s="31" t="s">
        <x:v>73</x:v>
      </x:c>
      <x:c r="J138" s="32" t="str">
        <x:f t="shared" si="8">IF(AND(E138&lt;&gt;"",F138&lt;&gt;"",G138&lt;&gt;"",H138&lt;&gt;"",I138&lt;&gt;""),"COMPLETE","PENDING")</x:f>
        <x:v>COMPLETE</x:v>
      </x:c>
      <x:c r="K138" s="33" t="str">
        <x:f t="shared" si="9">IF(J138&lt;&gt;"COMPLETE","",IF(OR(AND(F138="DEVANAGARI_TARGET_REQUIRED",G138&lt;&gt;"REQUIRED"),AND(F138="NO_TRANSLITERATION_ALLOWED",G138&lt;&gt;"PROHIBITED"),AND(F138="LATIN_IDENTITY_PREFERRED_TARGET_OPTIONAL",G138&lt;&gt;"OPTIONAL"),AND(F138="BOTH_EQUAL_REVIEW_REQUIRED",G138="PROHIBITED")),"CHECK","OK"))</x:f>
        <x:v>OK</x:v>
      </x:c>
    </x:row>
    <x:row r="139" ht="29.5">
      <x:c r="A139" s="28">
        <x:v>135</x:v>
      </x:c>
      <x:c r="B139" s="29" t="s">
        <x:v>316</x:v>
      </x:c>
      <x:c r="C139" s="30" t="s">
        <x:v>56</x:v>
      </x:c>
      <x:c r="D139" s="30" t="s">
        <x:v>56</x:v>
      </x:c>
      <x:c r="E139" s="31" t="s">
        <x:v>57</x:v>
      </x:c>
      <x:c r="F139" s="31" t="s">
        <x:v>58</x:v>
      </x:c>
      <x:c r="G139" s="31" t="s">
        <x:v>58</x:v>
      </x:c>
      <x:c r="H139" s="31" t="s">
        <x:v>59</x:v>
      </x:c>
      <x:c r="I139" s="31" t="s">
        <x:v>75</x:v>
      </x:c>
      <x:c r="J139" s="32" t="str">
        <x:f t="shared" si="8">IF(AND(E139&lt;&gt;"",F139&lt;&gt;"",G139&lt;&gt;"",H139&lt;&gt;"",I139&lt;&gt;""),"COMPLETE","PENDING")</x:f>
        <x:v>COMPLETE</x:v>
      </x:c>
      <x:c r="K139" s="33" t="str">
        <x:f t="shared" si="9">IF(J139&lt;&gt;"COMPLETE","",IF(OR(AND(F139="DEVANAGARI_TARGET_REQUIRED",G139&lt;&gt;"REQUIRED"),AND(F139="NO_TRANSLITERATION_ALLOWED",G139&lt;&gt;"PROHIBITED"),AND(F139="LATIN_IDENTITY_PREFERRED_TARGET_OPTIONAL",G139&lt;&gt;"OPTIONAL"),AND(F139="BOTH_EQUAL_REVIEW_REQUIRED",G139="PROHIBITED")),"CHECK","OK"))</x:f>
        <x:v>OK</x:v>
      </x:c>
    </x:row>
    <x:row r="140" ht="29.5">
      <x:c r="A140" s="28">
        <x:v>136</x:v>
      </x:c>
      <x:c r="B140" s="29" t="s">
        <x:v>317</x:v>
      </x:c>
      <x:c r="C140" s="30" t="s">
        <x:v>318</x:v>
      </x:c>
      <x:c r="D140" s="30" t="s">
        <x:v>318</x:v>
      </x:c>
      <x:c r="E140" s="31" t="s">
        <x:v>50</x:v>
      </x:c>
      <x:c r="F140" s="31" t="s">
        <x:v>51</x:v>
      </x:c>
      <x:c r="G140" s="31" t="s">
        <x:v>52</x:v>
      </x:c>
      <x:c r="H140" s="31" t="s">
        <x:v>53</x:v>
      </x:c>
      <x:c r="I140" s="31" t="s">
        <x:v>73</x:v>
      </x:c>
      <x:c r="J140" s="32" t="str">
        <x:f t="shared" si="8">IF(AND(E140&lt;&gt;"",F140&lt;&gt;"",G140&lt;&gt;"",H140&lt;&gt;"",I140&lt;&gt;""),"COMPLETE","PENDING")</x:f>
        <x:v>COMPLETE</x:v>
      </x:c>
      <x:c r="K140" s="33" t="str">
        <x:f t="shared" si="9">IF(J140&lt;&gt;"COMPLETE","",IF(OR(AND(F140="DEVANAGARI_TARGET_REQUIRED",G140&lt;&gt;"REQUIRED"),AND(F140="NO_TRANSLITERATION_ALLOWED",G140&lt;&gt;"PROHIBITED"),AND(F140="LATIN_IDENTITY_PREFERRED_TARGET_OPTIONAL",G140&lt;&gt;"OPTIONAL"),AND(F140="BOTH_EQUAL_REVIEW_REQUIRED",G140="PROHIBITED")),"CHECK","OK"))</x:f>
        <x:v>OK</x:v>
      </x:c>
    </x:row>
    <x:row r="141" ht="14.75">
      <x:c r="A141" s="28">
        <x:v>137</x:v>
      </x:c>
      <x:c r="B141" s="29" t="s">
        <x:v>319</x:v>
      </x:c>
      <x:c r="C141" s="30" t="s">
        <x:v>124</x:v>
      </x:c>
      <x:c r="D141" s="30" t="s">
        <x:v>124</x:v>
      </x:c>
      <x:c r="E141" s="31" t="s">
        <x:v>63</x:v>
      </x:c>
      <x:c r="F141" s="31" t="s">
        <x:v>64</x:v>
      </x:c>
      <x:c r="G141" s="31" t="s">
        <x:v>65</x:v>
      </x:c>
      <x:c r="H141" s="31" t="s">
        <x:v>53</x:v>
      </x:c>
      <x:c r="I141" s="31" t="s">
        <x:v>152</x:v>
      </x:c>
      <x:c r="J141" s="32" t="str">
        <x:f t="shared" si="8">IF(AND(E141&lt;&gt;"",F141&lt;&gt;"",G141&lt;&gt;"",H141&lt;&gt;"",I141&lt;&gt;""),"COMPLETE","PENDING")</x:f>
        <x:v>COMPLETE</x:v>
      </x:c>
      <x:c r="K141" s="33" t="str">
        <x:f t="shared" si="9">IF(J141&lt;&gt;"COMPLETE","",IF(OR(AND(F141="DEVANAGARI_TARGET_REQUIRED",G141&lt;&gt;"REQUIRED"),AND(F141="NO_TRANSLITERATION_ALLOWED",G141&lt;&gt;"PROHIBITED"),AND(F141="LATIN_IDENTITY_PREFERRED_TARGET_OPTIONAL",G141&lt;&gt;"OPTIONAL"),AND(F141="BOTH_EQUAL_REVIEW_REQUIRED",G141="PROHIBITED")),"CHECK","OK"))</x:f>
        <x:v>OK</x:v>
      </x:c>
    </x:row>
    <x:row r="142" ht="14.75">
      <x:c r="A142" s="28">
        <x:v>138</x:v>
      </x:c>
      <x:c r="B142" s="29" t="s">
        <x:v>320</x:v>
      </x:c>
      <x:c r="C142" s="30" t="s">
        <x:v>321</x:v>
      </x:c>
      <x:c r="D142" s="30" t="s">
        <x:v>321</x:v>
      </x:c>
      <x:c r="E142" s="31" t="s">
        <x:v>63</x:v>
      </x:c>
      <x:c r="F142" s="31" t="s">
        <x:v>64</x:v>
      </x:c>
      <x:c r="G142" s="31" t="str">
        <x:v>REQUIRED</x:v>
      </x:c>
      <x:c r="H142" s="31" t="str">
        <x:v>MEDIUM</x:v>
      </x:c>
      <x:c r="I142" s="31" t="str">
        <x:v>nau is Romanized Nepali but its exact Devanagari form can depend on context, so a Devanagari candidate should be retained.</x:v>
      </x:c>
      <x:c r="J142" s="32" t="str">
        <x:f t="shared" si="8">IF(AND(E142&lt;&gt;"",F142&lt;&gt;"",G142&lt;&gt;"",H142&lt;&gt;"",I142&lt;&gt;""),"COMPLETE","PENDING")</x:f>
        <x:v>COMPLETE</x:v>
      </x:c>
      <x:c r="K142" s="33" t="str">
        <x:f t="shared" si="9">IF(J142&lt;&gt;"COMPLETE","",IF(OR(AND(F142="DEVANAGARI_TARGET_REQUIRED",G142&lt;&gt;"REQUIRED"),AND(F142="NO_TRANSLITERATION_ALLOWED",G142&lt;&gt;"PROHIBITED"),AND(F142="LATIN_IDENTITY_PREFERRED_TARGET_OPTIONAL",G142&lt;&gt;"OPTIONAL"),AND(F142="BOTH_EQUAL_REVIEW_REQUIRED",G142="PROHIBITED")),"CHECK","OK"))</x:f>
        <x:v>OK</x:v>
      </x:c>
    </x:row>
    <x:row r="143" ht="29.5">
      <x:c r="A143" s="28">
        <x:v>139</x:v>
      </x:c>
      <x:c r="B143" s="29" t="s">
        <x:v>322</x:v>
      </x:c>
      <x:c r="C143" s="30" t="s">
        <x:v>323</x:v>
      </x:c>
      <x:c r="D143" s="30" t="s">
        <x:v>323</x:v>
      </x:c>
      <x:c r="E143" s="31" t="s">
        <x:v>50</x:v>
      </x:c>
      <x:c r="F143" s="31" t="s">
        <x:v>51</x:v>
      </x:c>
      <x:c r="G143" s="31" t="s">
        <x:v>52</x:v>
      </x:c>
      <x:c r="H143" s="31" t="s">
        <x:v>53</x:v>
      </x:c>
      <x:c r="I143" s="31" t="s">
        <x:v>73</x:v>
      </x:c>
      <x:c r="J143" s="32" t="str">
        <x:f t="shared" si="8">IF(AND(E143&lt;&gt;"",F143&lt;&gt;"",G143&lt;&gt;"",H143&lt;&gt;"",I143&lt;&gt;""),"COMPLETE","PENDING")</x:f>
        <x:v>COMPLETE</x:v>
      </x:c>
      <x:c r="K143" s="33" t="str">
        <x:f t="shared" si="9">IF(J143&lt;&gt;"COMPLETE","",IF(OR(AND(F143="DEVANAGARI_TARGET_REQUIRED",G143&lt;&gt;"REQUIRED"),AND(F143="NO_TRANSLITERATION_ALLOWED",G143&lt;&gt;"PROHIBITED"),AND(F143="LATIN_IDENTITY_PREFERRED_TARGET_OPTIONAL",G143&lt;&gt;"OPTIONAL"),AND(F143="BOTH_EQUAL_REVIEW_REQUIRED",G143="PROHIBITED")),"CHECK","OK"))</x:f>
        <x:v>OK</x:v>
      </x:c>
    </x:row>
    <x:row r="144" ht="29.5">
      <x:c r="A144" s="28">
        <x:v>140</x:v>
      </x:c>
      <x:c r="B144" s="29" t="s">
        <x:v>324</x:v>
      </x:c>
      <x:c r="C144" s="30" t="s">
        <x:v>114</x:v>
      </x:c>
      <x:c r="D144" s="30" t="s">
        <x:v>114</x:v>
      </x:c>
      <x:c r="E144" s="31" t="s">
        <x:v>57</x:v>
      </x:c>
      <x:c r="F144" s="31" t="s">
        <x:v>58</x:v>
      </x:c>
      <x:c r="G144" s="31" t="s">
        <x:v>58</x:v>
      </x:c>
      <x:c r="H144" s="31" t="s">
        <x:v>59</x:v>
      </x:c>
      <x:c r="I144" s="31" t="s">
        <x:v>75</x:v>
      </x:c>
      <x:c r="J144" s="32" t="str">
        <x:f t="shared" si="8">IF(AND(E144&lt;&gt;"",F144&lt;&gt;"",G144&lt;&gt;"",H144&lt;&gt;"",I144&lt;&gt;""),"COMPLETE","PENDING")</x:f>
        <x:v>COMPLETE</x:v>
      </x:c>
      <x:c r="K144" s="33" t="str">
        <x:f t="shared" si="9">IF(J144&lt;&gt;"COMPLETE","",IF(OR(AND(F144="DEVANAGARI_TARGET_REQUIRED",G144&lt;&gt;"REQUIRED"),AND(F144="NO_TRANSLITERATION_ALLOWED",G144&lt;&gt;"PROHIBITED"),AND(F144="LATIN_IDENTITY_PREFERRED_TARGET_OPTIONAL",G144&lt;&gt;"OPTIONAL"),AND(F144="BOTH_EQUAL_REVIEW_REQUIRED",G144="PROHIBITED")),"CHECK","OK"))</x:f>
        <x:v>OK</x:v>
      </x:c>
    </x:row>
    <x:row r="145" ht="29.5">
      <x:c r="A145" s="28">
        <x:v>141</x:v>
      </x:c>
      <x:c r="B145" s="29" t="s">
        <x:v>325</x:v>
      </x:c>
      <x:c r="C145" s="30" t="s">
        <x:v>326</x:v>
      </x:c>
      <x:c r="D145" s="30" t="s">
        <x:v>326</x:v>
      </x:c>
      <x:c r="E145" s="31" t="s">
        <x:v>50</x:v>
      </x:c>
      <x:c r="F145" s="31" t="s">
        <x:v>51</x:v>
      </x:c>
      <x:c r="G145" s="31" t="s">
        <x:v>52</x:v>
      </x:c>
      <x:c r="H145" s="31" t="s">
        <x:v>53</x:v>
      </x:c>
      <x:c r="I145" s="31" t="s">
        <x:v>73</x:v>
      </x:c>
      <x:c r="J145" s="32" t="str">
        <x:f t="shared" si="8">IF(AND(E145&lt;&gt;"",F145&lt;&gt;"",G145&lt;&gt;"",H145&lt;&gt;"",I145&lt;&gt;""),"COMPLETE","PENDING")</x:f>
        <x:v>COMPLETE</x:v>
      </x:c>
      <x:c r="K145" s="33" t="str">
        <x:f t="shared" si="9">IF(J145&lt;&gt;"COMPLETE","",IF(OR(AND(F145="DEVANAGARI_TARGET_REQUIRED",G145&lt;&gt;"REQUIRED"),AND(F145="NO_TRANSLITERATION_ALLOWED",G145&lt;&gt;"PROHIBITED"),AND(F145="LATIN_IDENTITY_PREFERRED_TARGET_OPTIONAL",G145&lt;&gt;"OPTIONAL"),AND(F145="BOTH_EQUAL_REVIEW_REQUIRED",G145="PROHIBITED")),"CHECK","OK"))</x:f>
        <x:v>OK</x:v>
      </x:c>
    </x:row>
    <x:row r="146" ht="29.5">
      <x:c r="A146" s="28">
        <x:v>142</x:v>
      </x:c>
      <x:c r="B146" s="29" t="s">
        <x:v>327</x:v>
      </x:c>
      <x:c r="C146" s="30" t="s">
        <x:v>328</x:v>
      </x:c>
      <x:c r="D146" s="30" t="s">
        <x:v>328</x:v>
      </x:c>
      <x:c r="E146" s="31" t="s">
        <x:v>50</x:v>
      </x:c>
      <x:c r="F146" s="31" t="s">
        <x:v>51</x:v>
      </x:c>
      <x:c r="G146" s="31" t="s">
        <x:v>52</x:v>
      </x:c>
      <x:c r="H146" s="31" t="s">
        <x:v>53</x:v>
      </x:c>
      <x:c r="I146" s="31" t="s">
        <x:v>73</x:v>
      </x:c>
      <x:c r="J146" s="32" t="str">
        <x:f t="shared" si="8">IF(AND(E146&lt;&gt;"",F146&lt;&gt;"",G146&lt;&gt;"",H146&lt;&gt;"",I146&lt;&gt;""),"COMPLETE","PENDING")</x:f>
        <x:v>COMPLETE</x:v>
      </x:c>
      <x:c r="K146" s="33" t="str">
        <x:f t="shared" si="9">IF(J146&lt;&gt;"COMPLETE","",IF(OR(AND(F146="DEVANAGARI_TARGET_REQUIRED",G146&lt;&gt;"REQUIRED"),AND(F146="NO_TRANSLITERATION_ALLOWED",G146&lt;&gt;"PROHIBITED"),AND(F146="LATIN_IDENTITY_PREFERRED_TARGET_OPTIONAL",G146&lt;&gt;"OPTIONAL"),AND(F146="BOTH_EQUAL_REVIEW_REQUIRED",G146="PROHIBITED")),"CHECK","OK"))</x:f>
        <x:v>OK</x:v>
      </x:c>
    </x:row>
    <x:row r="147" ht="14.75">
      <x:c r="A147" s="28">
        <x:v>143</x:v>
      </x:c>
      <x:c r="B147" s="29" t="s">
        <x:v>329</x:v>
      </x:c>
      <x:c r="C147" s="30" t="s">
        <x:v>208</x:v>
      </x:c>
      <x:c r="D147" s="30" t="s">
        <x:v>208</x:v>
      </x:c>
      <x:c r="E147" s="31" t="s">
        <x:v>63</x:v>
      </x:c>
      <x:c r="F147" s="31" t="s">
        <x:v>64</x:v>
      </x:c>
      <x:c r="G147" s="31" t="s">
        <x:v>65</x:v>
      </x:c>
      <x:c r="H147" s="31" t="s">
        <x:v>53</x:v>
      </x:c>
      <x:c r="I147" s="31" t="s">
        <x:v>152</x:v>
      </x:c>
      <x:c r="J147" s="32" t="str">
        <x:f t="shared" si="8">IF(AND(E147&lt;&gt;"",F147&lt;&gt;"",G147&lt;&gt;"",H147&lt;&gt;"",I147&lt;&gt;""),"COMPLETE","PENDING")</x:f>
        <x:v>COMPLETE</x:v>
      </x:c>
      <x:c r="K147" s="33" t="str">
        <x:f t="shared" si="9">IF(J147&lt;&gt;"COMPLETE","",IF(OR(AND(F147="DEVANAGARI_TARGET_REQUIRED",G147&lt;&gt;"REQUIRED"),AND(F147="NO_TRANSLITERATION_ALLOWED",G147&lt;&gt;"PROHIBITED"),AND(F147="LATIN_IDENTITY_PREFERRED_TARGET_OPTIONAL",G147&lt;&gt;"OPTIONAL"),AND(F147="BOTH_EQUAL_REVIEW_REQUIRED",G147="PROHIBITED")),"CHECK","OK"))</x:f>
        <x:v>OK</x:v>
      </x:c>
    </x:row>
    <x:row r="148" ht="14.75">
      <x:c r="A148" s="28">
        <x:v>144</x:v>
      </x:c>
      <x:c r="B148" s="29" t="s">
        <x:v>330</x:v>
      </x:c>
      <x:c r="C148" s="30" t="s">
        <x:v>331</x:v>
      </x:c>
      <x:c r="D148" s="30" t="s">
        <x:v>331</x:v>
      </x:c>
      <x:c r="E148" s="31" t="s">
        <x:v>63</x:v>
      </x:c>
      <x:c r="F148" s="31" t="s">
        <x:v>64</x:v>
      </x:c>
      <x:c r="G148" s="31" t="s">
        <x:v>65</x:v>
      </x:c>
      <x:c r="H148" s="31" t="s">
        <x:v>53</x:v>
      </x:c>
      <x:c r="I148" s="31" t="s">
        <x:v>122</x:v>
      </x:c>
      <x:c r="J148" s="32" t="str">
        <x:f t="shared" si="8">IF(AND(E148&lt;&gt;"",F148&lt;&gt;"",G148&lt;&gt;"",H148&lt;&gt;"",I148&lt;&gt;""),"COMPLETE","PENDING")</x:f>
        <x:v>COMPLETE</x:v>
      </x:c>
      <x:c r="K148" s="33" t="str">
        <x:f t="shared" si="9">IF(J148&lt;&gt;"COMPLETE","",IF(OR(AND(F148="DEVANAGARI_TARGET_REQUIRED",G148&lt;&gt;"REQUIRED"),AND(F148="NO_TRANSLITERATION_ALLOWED",G148&lt;&gt;"PROHIBITED"),AND(F148="LATIN_IDENTITY_PREFERRED_TARGET_OPTIONAL",G148&lt;&gt;"OPTIONAL"),AND(F148="BOTH_EQUAL_REVIEW_REQUIRED",G148="PROHIBITED")),"CHECK","OK"))</x:f>
        <x:v>OK</x:v>
      </x:c>
    </x:row>
    <x:row r="149" ht="29.5">
      <x:c r="A149" s="28">
        <x:v>145</x:v>
      </x:c>
      <x:c r="B149" s="29" t="s">
        <x:v>332</x:v>
      </x:c>
      <x:c r="C149" s="30" t="s">
        <x:v>333</x:v>
      </x:c>
      <x:c r="D149" s="30" t="s">
        <x:v>333</x:v>
      </x:c>
      <x:c r="E149" s="31" t="s">
        <x:v>50</x:v>
      </x:c>
      <x:c r="F149" s="31" t="s">
        <x:v>51</x:v>
      </x:c>
      <x:c r="G149" s="31" t="s">
        <x:v>52</x:v>
      </x:c>
      <x:c r="H149" s="31" t="s">
        <x:v>53</x:v>
      </x:c>
      <x:c r="I149" s="31" t="s">
        <x:v>73</x:v>
      </x:c>
      <x:c r="J149" s="32" t="str">
        <x:f t="shared" si="8">IF(AND(E149&lt;&gt;"",F149&lt;&gt;"",G149&lt;&gt;"",H149&lt;&gt;"",I149&lt;&gt;""),"COMPLETE","PENDING")</x:f>
        <x:v>COMPLETE</x:v>
      </x:c>
      <x:c r="K149" s="33" t="str">
        <x:f t="shared" si="9">IF(J149&lt;&gt;"COMPLETE","",IF(OR(AND(F149="DEVANAGARI_TARGET_REQUIRED",G149&lt;&gt;"REQUIRED"),AND(F149="NO_TRANSLITERATION_ALLOWED",G149&lt;&gt;"PROHIBITED"),AND(F149="LATIN_IDENTITY_PREFERRED_TARGET_OPTIONAL",G149&lt;&gt;"OPTIONAL"),AND(F149="BOTH_EQUAL_REVIEW_REQUIRED",G149="PROHIBITED")),"CHECK","OK"))</x:f>
        <x:v>OK</x:v>
      </x:c>
    </x:row>
    <x:row r="150" ht="29.5">
      <x:c r="A150" s="28">
        <x:v>146</x:v>
      </x:c>
      <x:c r="B150" s="29" t="s">
        <x:v>334</x:v>
      </x:c>
      <x:c r="C150" s="30" t="s">
        <x:v>81</x:v>
      </x:c>
      <x:c r="D150" s="30" t="s">
        <x:v>81</x:v>
      </x:c>
      <x:c r="E150" s="31" t="s">
        <x:v>57</x:v>
      </x:c>
      <x:c r="F150" s="31" t="s">
        <x:v>58</x:v>
      </x:c>
      <x:c r="G150" s="31" t="s">
        <x:v>58</x:v>
      </x:c>
      <x:c r="H150" s="31" t="s">
        <x:v>59</x:v>
      </x:c>
      <x:c r="I150" s="31" t="s">
        <x:v>75</x:v>
      </x:c>
      <x:c r="J150" s="32" t="str">
        <x:f t="shared" si="8">IF(AND(E150&lt;&gt;"",F150&lt;&gt;"",G150&lt;&gt;"",H150&lt;&gt;"",I150&lt;&gt;""),"COMPLETE","PENDING")</x:f>
        <x:v>COMPLETE</x:v>
      </x:c>
      <x:c r="K150" s="33" t="str">
        <x:f t="shared" si="9">IF(J150&lt;&gt;"COMPLETE","",IF(OR(AND(F150="DEVANAGARI_TARGET_REQUIRED",G150&lt;&gt;"REQUIRED"),AND(F150="NO_TRANSLITERATION_ALLOWED",G150&lt;&gt;"PROHIBITED"),AND(F150="LATIN_IDENTITY_PREFERRED_TARGET_OPTIONAL",G150&lt;&gt;"OPTIONAL"),AND(F150="BOTH_EQUAL_REVIEW_REQUIRED",G150="PROHIBITED")),"CHECK","OK"))</x:f>
        <x:v>OK</x:v>
      </x:c>
    </x:row>
    <x:row r="151" ht="29.5">
      <x:c r="A151" s="28">
        <x:v>147</x:v>
      </x:c>
      <x:c r="B151" s="29" t="s">
        <x:v>335</x:v>
      </x:c>
      <x:c r="C151" s="30" t="s">
        <x:v>88</x:v>
      </x:c>
      <x:c r="D151" s="30" t="s">
        <x:v>88</x:v>
      </x:c>
      <x:c r="E151" s="31" t="s">
        <x:v>50</x:v>
      </x:c>
      <x:c r="F151" s="31" t="s">
        <x:v>51</x:v>
      </x:c>
      <x:c r="G151" s="31" t="s">
        <x:v>52</x:v>
      </x:c>
      <x:c r="H151" s="31" t="s">
        <x:v>53</x:v>
      </x:c>
      <x:c r="I151" s="31" t="s">
        <x:v>73</x:v>
      </x:c>
      <x:c r="J151" s="32" t="str">
        <x:f t="shared" si="8">IF(AND(E151&lt;&gt;"",F151&lt;&gt;"",G151&lt;&gt;"",H151&lt;&gt;"",I151&lt;&gt;""),"COMPLETE","PENDING")</x:f>
        <x:v>COMPLETE</x:v>
      </x:c>
      <x:c r="K151" s="33" t="str">
        <x:f t="shared" si="9">IF(J151&lt;&gt;"COMPLETE","",IF(OR(AND(F151="DEVANAGARI_TARGET_REQUIRED",G151&lt;&gt;"REQUIRED"),AND(F151="NO_TRANSLITERATION_ALLOWED",G151&lt;&gt;"PROHIBITED"),AND(F151="LATIN_IDENTITY_PREFERRED_TARGET_OPTIONAL",G151&lt;&gt;"OPTIONAL"),AND(F151="BOTH_EQUAL_REVIEW_REQUIRED",G151="PROHIBITED")),"CHECK","OK"))</x:f>
        <x:v>OK</x:v>
      </x:c>
    </x:row>
    <x:row r="152" ht="29.5">
      <x:c r="A152" s="28">
        <x:v>148</x:v>
      </x:c>
      <x:c r="B152" s="29" t="s">
        <x:v>336</x:v>
      </x:c>
      <x:c r="C152" s="30" t="s">
        <x:v>337</x:v>
      </x:c>
      <x:c r="D152" s="30" t="s">
        <x:v>337</x:v>
      </x:c>
      <x:c r="E152" s="31" t="s">
        <x:v>50</x:v>
      </x:c>
      <x:c r="F152" s="31" t="s">
        <x:v>51</x:v>
      </x:c>
      <x:c r="G152" s="31" t="s">
        <x:v>52</x:v>
      </x:c>
      <x:c r="H152" s="31" t="s">
        <x:v>53</x:v>
      </x:c>
      <x:c r="I152" s="31" t="s">
        <x:v>73</x:v>
      </x:c>
      <x:c r="J152" s="32" t="str">
        <x:f t="shared" si="8">IF(AND(E152&lt;&gt;"",F152&lt;&gt;"",G152&lt;&gt;"",H152&lt;&gt;"",I152&lt;&gt;""),"COMPLETE","PENDING")</x:f>
        <x:v>COMPLETE</x:v>
      </x:c>
      <x:c r="K152" s="33" t="str">
        <x:f t="shared" si="9">IF(J152&lt;&gt;"COMPLETE","",IF(OR(AND(F152="DEVANAGARI_TARGET_REQUIRED",G152&lt;&gt;"REQUIRED"),AND(F152="NO_TRANSLITERATION_ALLOWED",G152&lt;&gt;"PROHIBITED"),AND(F152="LATIN_IDENTITY_PREFERRED_TARGET_OPTIONAL",G152&lt;&gt;"OPTIONAL"),AND(F152="BOTH_EQUAL_REVIEW_REQUIRED",G152="PROHIBITED")),"CHECK","OK"))</x:f>
        <x:v>OK</x:v>
      </x:c>
    </x:row>
    <x:row r="153" ht="29.5">
      <x:c r="A153" s="34">
        <x:v>149</x:v>
      </x:c>
      <x:c r="B153" s="35" t="s">
        <x:v>338</x:v>
      </x:c>
      <x:c r="C153" s="36" t="s">
        <x:v>92</x:v>
      </x:c>
      <x:c r="D153" s="36" t="s">
        <x:v>92</x:v>
      </x:c>
      <x:c r="E153" s="31" t="s">
        <x:v>57</x:v>
      </x:c>
      <x:c r="F153" s="31" t="s">
        <x:v>58</x:v>
      </x:c>
      <x:c r="G153" s="31" t="s">
        <x:v>58</x:v>
      </x:c>
      <x:c r="H153" s="31" t="s">
        <x:v>59</x:v>
      </x:c>
      <x:c r="I153" s="31" t="s">
        <x:v>75</x:v>
      </x:c>
      <x:c r="J153" s="37" t="str">
        <x:f t="shared" si="8">IF(AND(E153&lt;&gt;"",F153&lt;&gt;"",G153&lt;&gt;"",H153&lt;&gt;"",I153&lt;&gt;""),"COMPLETE","PENDING")</x:f>
        <x:v>COMPLETE</x:v>
      </x:c>
      <x:c r="K153" s="38" t="str">
        <x:f t="shared" si="9">IF(J153&lt;&gt;"COMPLETE","",IF(OR(AND(F153="DEVANAGARI_TARGET_REQUIRED",G153&lt;&gt;"REQUIRED"),AND(F153="NO_TRANSLITERATION_ALLOWED",G153&lt;&gt;"PROHIBITED"),AND(F153="LATIN_IDENTITY_PREFERRED_TARGET_OPTIONAL",G153&lt;&gt;"OPTIONAL"),AND(F153="BOTH_EQUAL_REVIEW_REQUIRED",G153="PROHIBITED")),"CHECK","OK"))</x:f>
        <x:v>OK</x:v>
      </x:c>
    </x:row>
  </x:sheetData>
  <x:mergeCells>
    <x:mergeCell ref="A1:K2"/>
    <x:mergeCell ref="A3:K3"/>
  </x:mergeCells>
  <x:conditionalFormatting sqref="J5:J153">
    <x:cfRule type="containsText" dxfId="3" priority="1" operator="containsText" text="COMPLETE"/>
    <x:cfRule type="containsText" dxfId="2" priority="2" operator="containsText" text="PENDING"/>
  </x:conditionalFormatting>
  <x:conditionalFormatting sqref="K5:K153">
    <x:cfRule type="containsText" dxfId="1" priority="3" operator="containsText" text="CHECK"/>
    <x:cfRule type="containsText" dxfId="0" priority="4" operator="containsText" text="OK"/>
  </x:conditionalFormatting>
  <x:dataValidations count="4">
    <x:dataValidation type="list" sqref="E5:E153">
      <x:formula1>"ROMANIZED_NEPALI,ENGLISH_TERM,NEPALI_LOANWORD_WRITTEN_IN_LATIN,PROPER_NAME_OR_ENTITY,ACRONYM_OR_IDENTIFIER,AMBIGUOUS_CODE_MIX,INVALID_OR_UNCLEAR"</x:formula1>
    </x:dataValidation>
    <x:dataValidation type="list" sqref="F5:F153">
      <x:formula1>"DEVANAGARI_TARGET_REQUIRED,LATIN_IDENTITY_REQUIRED,LATIN_IDENTITY_PREFERRED_TARGET_OPTIONAL,BOTH_EQUAL_REVIEW_REQUIRED,NO_TRANSLITERATION_ALLOWED,CANNOT_DECIDE"</x:formula1>
    </x:dataValidation>
    <x:dataValidation type="list" sqref="G5:G153">
      <x:formula1>"REQUIRED,OPTIONAL,PROHIBITED,CANNOT_DECIDE"</x:formula1>
    </x:dataValidation>
    <x:dataValidation type="list" sqref="H5:H153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50b8d8b4ac42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44" customWidth="1"/>
    <x:col min="3" max="3" width="40" customWidth="1"/>
    <x:col min="4" max="4" width="48" customWidth="1"/>
  </x:cols>
  <x:sheetData>
    <x:row r="1">
      <x:c r="A1" s="51" t="s">
        <x:v>339</x:v>
      </x:c>
      <x:c r="B1" s="51" t="s">
        <x:v>339</x:v>
      </x:c>
      <x:c r="C1" s="51" t="s">
        <x:v>339</x:v>
      </x:c>
      <x:c r="D1" s="51" t="s">
        <x:v>339</x:v>
      </x:c>
    </x:row>
    <x:row r="2">
      <x:c r="A2" s="51" t="s">
        <x:v>339</x:v>
      </x:c>
      <x:c r="B2" s="51" t="s">
        <x:v>339</x:v>
      </x:c>
      <x:c r="C2" s="51" t="s">
        <x:v>339</x:v>
      </x:c>
      <x:c r="D2" s="51" t="s">
        <x:v>339</x:v>
      </x:c>
    </x:row>
    <x:row r="3" ht="14.75">
      <x:c r="A3" s="1"/>
      <x:c r="B3" s="1"/>
      <x:c r="C3" s="1"/>
      <x:c r="D3" s="1"/>
    </x:row>
    <x:row r="4" ht="14.75">
      <x:c r="A4" s="39" t="s">
        <x:v>340</x:v>
      </x:c>
      <x:c r="B4" s="40" t="s">
        <x:v>4</x:v>
      </x:c>
      <x:c r="C4" s="40" t="s">
        <x:v>341</x:v>
      </x:c>
      <x:c r="D4" s="41" t="s">
        <x:v>342</x:v>
      </x:c>
    </x:row>
    <x:row r="5" ht="42" customHeight="1">
      <x:c r="A5" s="42" t="s">
        <x:v>63</x:v>
      </x:c>
      <x:c r="B5" s="43" t="s">
        <x:v>343</x:v>
      </x:c>
      <x:c r="C5" s="43" t="s">
        <x:v>344</x:v>
      </x:c>
      <x:c r="D5" s="44" t="s">
        <x:v>345</x:v>
      </x:c>
    </x:row>
    <x:row r="6" ht="42" customHeight="1">
      <x:c r="A6" s="42" t="s">
        <x:v>50</x:v>
      </x:c>
      <x:c r="B6" s="43" t="s">
        <x:v>346</x:v>
      </x:c>
      <x:c r="C6" s="43" t="s">
        <x:v>347</x:v>
      </x:c>
      <x:c r="D6" s="44" t="s">
        <x:v>348</x:v>
      </x:c>
    </x:row>
    <x:row r="7" ht="42" customHeight="1">
      <x:c r="A7" s="42" t="s">
        <x:v>349</x:v>
      </x:c>
      <x:c r="B7" s="43" t="s">
        <x:v>350</x:v>
      </x:c>
      <x:c r="C7" s="43" t="s">
        <x:v>351</x:v>
      </x:c>
      <x:c r="D7" s="44" t="s">
        <x:v>352</x:v>
      </x:c>
    </x:row>
    <x:row r="8" ht="42" customHeight="1">
      <x:c r="A8" s="42" t="s">
        <x:v>272</x:v>
      </x:c>
      <x:c r="B8" s="43" t="s">
        <x:v>353</x:v>
      </x:c>
      <x:c r="C8" s="43" t="s">
        <x:v>354</x:v>
      </x:c>
      <x:c r="D8" s="44" t="s">
        <x:v>355</x:v>
      </x:c>
    </x:row>
    <x:row r="9" ht="42" customHeight="1">
      <x:c r="A9" s="42" t="s">
        <x:v>356</x:v>
      </x:c>
      <x:c r="B9" s="43" t="s">
        <x:v>357</x:v>
      </x:c>
      <x:c r="C9" s="43" t="s">
        <x:v>358</x:v>
      </x:c>
      <x:c r="D9" s="44" t="s">
        <x:v>359</x:v>
      </x:c>
    </x:row>
    <x:row r="10" ht="42" customHeight="1">
      <x:c r="A10" s="42" t="s">
        <x:v>360</x:v>
      </x:c>
      <x:c r="B10" s="43" t="s">
        <x:v>361</x:v>
      </x:c>
      <x:c r="C10" s="43" t="s">
        <x:v>362</x:v>
      </x:c>
      <x:c r="D10" s="44" t="s">
        <x:v>363</x:v>
      </x:c>
    </x:row>
    <x:row r="11" ht="42" customHeight="1">
      <x:c r="A11" s="42" t="s">
        <x:v>57</x:v>
      </x:c>
      <x:c r="B11" s="43" t="s">
        <x:v>364</x:v>
      </x:c>
      <x:c r="C11" s="43" t="s">
        <x:v>365</x:v>
      </x:c>
      <x:c r="D11" s="44" t="s">
        <x:v>366</x:v>
      </x:c>
    </x:row>
    <x:row r="12" ht="42" customHeight="1">
      <x:c r="A12" s="42"/>
      <x:c r="B12" s="43"/>
      <x:c r="C12" s="43"/>
      <x:c r="D12" s="44"/>
    </x:row>
    <x:row r="13" ht="42" customHeight="1">
      <x:c r="A13" s="45" t="s">
        <x:v>367</x:v>
      </x:c>
      <x:c r="B13" s="46" t="s">
        <x:v>368</x:v>
      </x:c>
      <x:c r="C13" s="46" t="s">
        <x:v>369</x:v>
      </x:c>
      <x:c r="D13" s="47" t="s">
        <x:v>370</x:v>
      </x:c>
    </x:row>
    <x:row r="14" ht="42" customHeight="1">
      <x:c r="A14" s="42" t="s">
        <x:v>64</x:v>
      </x:c>
      <x:c r="B14" s="43" t="s">
        <x:v>371</x:v>
      </x:c>
      <x:c r="C14" s="43" t="s">
        <x:v>65</x:v>
      </x:c>
      <x:c r="D14" s="44" t="s">
        <x:v>372</x:v>
      </x:c>
    </x:row>
    <x:row r="15" ht="42" customHeight="1">
      <x:c r="A15" s="42" t="s">
        <x:v>51</x:v>
      </x:c>
      <x:c r="B15" s="43" t="s">
        <x:v>373</x:v>
      </x:c>
      <x:c r="C15" s="43" t="s">
        <x:v>374</x:v>
      </x:c>
      <x:c r="D15" s="44" t="s">
        <x:v>375</x:v>
      </x:c>
    </x:row>
    <x:row r="16" ht="42" customHeight="1">
      <x:c r="A16" s="42" t="s">
        <x:v>376</x:v>
      </x:c>
      <x:c r="B16" s="43" t="s">
        <x:v>377</x:v>
      </x:c>
      <x:c r="C16" s="43" t="s">
        <x:v>52</x:v>
      </x:c>
      <x:c r="D16" s="44" t="s">
        <x:v>378</x:v>
      </x:c>
    </x:row>
    <x:row r="17" ht="42" customHeight="1">
      <x:c r="A17" s="42" t="s">
        <x:v>69</x:v>
      </x:c>
      <x:c r="B17" s="43" t="s">
        <x:v>379</x:v>
      </x:c>
      <x:c r="C17" s="43" t="s">
        <x:v>380</x:v>
      </x:c>
      <x:c r="D17" s="44" t="s">
        <x:v>381</x:v>
      </x:c>
    </x:row>
    <x:row r="18" ht="42" customHeight="1">
      <x:c r="A18" s="42" t="s">
        <x:v>382</x:v>
      </x:c>
      <x:c r="B18" s="43" t="s">
        <x:v>383</x:v>
      </x:c>
      <x:c r="C18" s="43" t="s">
        <x:v>384</x:v>
      </x:c>
      <x:c r="D18" s="44" t="s">
        <x:v>385</x:v>
      </x:c>
    </x:row>
    <x:row r="19" ht="42" customHeight="1">
      <x:c r="A19" s="42" t="s">
        <x:v>58</x:v>
      </x:c>
      <x:c r="B19" s="43" t="s">
        <x:v>386</x:v>
      </x:c>
      <x:c r="C19" s="43" t="s">
        <x:v>58</x:v>
      </x:c>
      <x:c r="D19" s="44" t="s">
        <x:v>387</x:v>
      </x:c>
    </x:row>
    <x:row r="20" ht="42" customHeight="1">
      <x:c r="A20" s="42"/>
      <x:c r="B20" s="43"/>
      <x:c r="C20" s="43"/>
      <x:c r="D20" s="44"/>
    </x:row>
    <x:row r="21" ht="42" customHeight="1">
      <x:c r="A21" s="45" t="s">
        <x:v>388</x:v>
      </x:c>
      <x:c r="B21" s="46" t="s">
        <x:v>4</x:v>
      </x:c>
      <x:c r="C21" s="46" t="s">
        <x:v>44</x:v>
      </x:c>
      <x:c r="D21" s="47" t="s">
        <x:v>389</x:v>
      </x:c>
    </x:row>
    <x:row r="22" ht="42" customHeight="1">
      <x:c r="A22" s="42" t="s">
        <x:v>65</x:v>
      </x:c>
      <x:c r="B22" s="43" t="s">
        <x:v>390</x:v>
      </x:c>
      <x:c r="C22" s="43" t="s">
        <x:v>53</x:v>
      </x:c>
      <x:c r="D22" s="44" t="s">
        <x:v>391</x:v>
      </x:c>
    </x:row>
    <x:row r="23" ht="42" customHeight="1">
      <x:c r="A23" s="42" t="s">
        <x:v>52</x:v>
      </x:c>
      <x:c r="B23" s="43" t="s">
        <x:v>392</x:v>
      </x:c>
      <x:c r="C23" s="43" t="s">
        <x:v>59</x:v>
      </x:c>
      <x:c r="D23" s="44" t="s">
        <x:v>393</x:v>
      </x:c>
    </x:row>
    <x:row r="24" ht="42" customHeight="1">
      <x:c r="A24" s="42" t="s">
        <x:v>384</x:v>
      </x:c>
      <x:c r="B24" s="43" t="s">
        <x:v>394</x:v>
      </x:c>
      <x:c r="C24" s="43" t="s">
        <x:v>53</x:v>
      </x:c>
      <x:c r="D24" s="44" t="s">
        <x:v>395</x:v>
      </x:c>
    </x:row>
    <x:row r="25" ht="42" customHeight="1">
      <x:c r="A25" s="48" t="s">
        <x:v>58</x:v>
      </x:c>
      <x:c r="B25" s="49" t="s">
        <x:v>396</x:v>
      </x:c>
      <x:c r="C25" s="49" t="s">
        <x:v>397</x:v>
      </x:c>
      <x:c r="D25" s="50" t="s">
        <x:v>398</x:v>
      </x:c>
    </x:row>
  </x:sheetData>
  <x:mergeCells>
    <x:mergeCell ref="A1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38" customWidth="1"/>
    <x:col min="3" max="4" width="16" customWidth="1"/>
  </x:cols>
  <x:sheetData>
    <x:row r="1">
      <x:c r="A1" s="51" t="s">
        <x:v>399</x:v>
      </x:c>
      <x:c r="B1" s="51" t="s">
        <x:v>399</x:v>
      </x:c>
      <x:c r="C1" s="51" t="s">
        <x:v>399</x:v>
      </x:c>
      <x:c r="D1" s="51" t="s">
        <x:v>399</x:v>
      </x:c>
    </x:row>
    <x:row r="2">
      <x:c r="A2" s="51" t="s">
        <x:v>399</x:v>
      </x:c>
      <x:c r="B2" s="51" t="s">
        <x:v>399</x:v>
      </x:c>
      <x:c r="C2" s="51" t="s">
        <x:v>399</x:v>
      </x:c>
      <x:c r="D2" s="51" t="s">
        <x:v>399</x:v>
      </x:c>
    </x:row>
    <x:row r="3" ht="14.75">
      <x:c r="A3" s="1"/>
      <x:c r="B3" s="1"/>
      <x:c r="C3" s="1"/>
      <x:c r="D3" s="1"/>
    </x:row>
    <x:row r="4" ht="14.75">
      <x:c r="A4" s="2" t="s">
        <x:v>400</x:v>
      </x:c>
      <x:c r="B4" s="2" t="s">
        <x:v>401</x:v>
      </x:c>
      <x:c r="C4" s="1"/>
      <x:c r="D4" s="1"/>
    </x:row>
    <x:row r="5" ht="30" customHeight="1">
      <x:c r="A5" s="15" t="s">
        <x:v>402</x:v>
      </x:c>
      <x:c r="B5" s="16" t="str">
        <x:v>Tapendra Awasthi</x:v>
      </x:c>
      <x:c r="C5" s="1"/>
      <x:c r="D5" s="1"/>
    </x:row>
    <x:row r="6" ht="30" customHeight="1">
      <x:c r="A6" s="17" t="s">
        <x:v>403</x:v>
      </x:c>
      <x:c r="B6" s="18" t="str">
        <x:v>2026-07-15</x:v>
      </x:c>
      <x:c r="C6" s="1"/>
      <x:c r="D6" s="1"/>
    </x:row>
    <x:row r="7" ht="30" customHeight="1">
      <x:c r="A7" s="17" t="s">
        <x:v>404</x:v>
      </x:c>
      <x:c r="B7" s="18" t="str">
        <x:v>YES</x:v>
      </x:c>
      <x:c r="C7" s="1"/>
      <x:c r="D7" s="1"/>
    </x:row>
    <x:row r="8" ht="30" customHeight="1">
      <x:c r="A8" s="17" t="s">
        <x:v>405</x:v>
      </x:c>
      <x:c r="B8" s="18" t="str">
        <x:v>YES</x:v>
      </x:c>
      <x:c r="C8" s="1"/>
      <x:c r="D8" s="1"/>
    </x:row>
    <x:row r="9" ht="30" customHeight="1">
      <x:c r="A9" s="17" t="s">
        <x:v>406</x:v>
      </x:c>
      <x:c r="B9" s="18" t="str">
        <x:v>NO</x:v>
      </x:c>
      <x:c r="C9" s="1"/>
      <x:c r="D9" s="1"/>
    </x:row>
    <x:row r="10" ht="30" customHeight="1">
      <x:c r="A10" s="17" t="s">
        <x:v>407</x:v>
      </x:c>
      <x:c r="B10" s="18" t="str">
        <x:v>APPROVE OPTION A</x:v>
      </x:c>
      <x:c r="C10" s="1"/>
      <x:c r="D10" s="1"/>
    </x:row>
    <x:row r="11" ht="30" customHeight="1">
      <x:c r="A11" s="17" t="s">
        <x:v>408</x:v>
      </x:c>
      <x:c r="B11" s="18" t="str">
        <x:v>YES</x:v>
      </x:c>
      <x:c r="C11" s="1"/>
      <x:c r="D11" s="1"/>
    </x:row>
    <x:row r="12" ht="30" customHeight="1">
      <x:c r="A12" s="19" t="s">
        <x:v>409</x:v>
      </x:c>
      <x:c r="B12" s="20" t="str">
        <x:v>YES</x:v>
      </x:c>
      <x:c r="C12" s="1"/>
      <x:c r="D12" s="1"/>
    </x:row>
    <x:row r="13" ht="14.75">
      <x:c r="A13" s="1"/>
      <x:c r="B13" s="1"/>
      <x:c r="C13" s="1"/>
      <x:c r="D13" s="1"/>
    </x:row>
    <x:row r="14" ht="14.75">
      <x:c r="A14" s="53" t="s">
        <x:v>410</x:v>
      </x:c>
      <x:c r="B14" s="53" t="s">
        <x:v>410</x:v>
      </x:c>
      <x:c r="C14" s="53" t="s">
        <x:v>410</x:v>
      </x:c>
      <x:c r="D14" s="53" t="s">
        <x:v>410</x:v>
      </x:c>
    </x:row>
    <x:row r="15" ht="32" customHeight="1">
      <x:c r="A15" s="54" t="s">
        <x:v>411</x:v>
      </x:c>
      <x:c r="B15" s="54"/>
      <x:c r="C15" s="54"/>
      <x:c r="D15" s="54"/>
    </x:row>
    <x:row r="16" ht="32" customHeight="1">
      <x:c r="A16" s="54" t="s">
        <x:v>412</x:v>
      </x:c>
      <x:c r="B16" s="54"/>
      <x:c r="C16" s="54"/>
      <x:c r="D16" s="54"/>
    </x:row>
    <x:row r="17" ht="32" customHeight="1">
      <x:c r="A17" s="54" t="s">
        <x:v>413</x:v>
      </x:c>
      <x:c r="B17" s="54"/>
      <x:c r="C17" s="54"/>
      <x:c r="D17" s="54"/>
    </x:row>
    <x:row r="18" ht="32" customHeight="1">
      <x:c r="A18" s="54" t="s">
        <x:v>414</x:v>
      </x:c>
      <x:c r="B18" s="54"/>
      <x:c r="C18" s="54"/>
      <x:c r="D18" s="54"/>
    </x:row>
  </x:sheetData>
  <x:mergeCells>
    <x:mergeCell ref="A18:D18"/>
    <x:mergeCell ref="A1:D2"/>
    <x:mergeCell ref="A14:D14"/>
    <x:mergeCell ref="A15:D15"/>
    <x:mergeCell ref="A16:D16"/>
    <x:mergeCell ref="A17:D17"/>
  </x:mergeCells>
  <x:dataValidations count="2">
    <x:dataValidation type="list" sqref="B7:B9 B11:B12">
      <x:formula1>"YES,NO"</x:formula1>
    </x:dataValidation>
    <x:dataValidation type="list" sqref="B10">
      <x:formula1>"APPROVE OPTION A,CHOOSE ANOTHER OPTION,UNDECIDED"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26" hidden="0" customWidth="1"/>
    <x:col min="4" max="4" width="38" hidden="0" customWidth="1"/>
    <x:col min="5" max="5" width="46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58" t="str">
        <x:v>review_id</x:v>
      </x:c>
      <x:c r="B1" s="58" t="str">
        <x:v>input_text</x:v>
      </x:c>
      <x:c r="C1" s="58" t="str">
        <x:v>highlighted_span</x:v>
      </x:c>
      <x:c r="D1" s="58" t="str">
        <x:v>span_class</x:v>
      </x:c>
      <x:c r="E1" s="58" t="str">
        <x:v>preferred_rank_policy</x:v>
      </x:c>
      <x:c r="F1" s="58" t="str">
        <x:v>devanagari_retention</x:v>
      </x:c>
      <x:c r="G1" s="58" t="str">
        <x:v>confidence</x:v>
      </x:c>
      <x:c r="H1" s="58" t="str">
        <x:v>reasoning</x:v>
      </x:c>
    </x:row>
    <x:row r="2">
      <x:c r="A2" s="59" t="str">
        <x:v>R3A-39CE6CDF4E01</x:v>
      </x:c>
      <x:c r="B2" s="59" t="str">
        <x:v>by</x:v>
      </x:c>
      <x:c r="C2" s="59" t="str">
        <x:v>by</x:v>
      </x:c>
      <x:c r="D2" s="59" t="str">
        <x:v>ENGLISH_TERM</x:v>
      </x:c>
      <x:c r="E2" s="59" t="str">
        <x:v>LATIN_IDENTITY_REQUIRED</x:v>
      </x:c>
      <x:c r="F2" s="59" t="str">
        <x:v>OPTIONAL</x:v>
      </x:c>
      <x:c r="G2" s="59" t="str">
        <x:v>HIGH</x:v>
      </x:c>
      <x:c r="H2" s="59" t="str">
        <x:v>It is English word</x:v>
      </x:c>
    </x:row>
    <x:row r="3">
      <x:c r="A3" s="59" t="str">
        <x:v>R3A-D928292459B8</x:v>
      </x:c>
      <x:c r="B3" s="59" t="str">
        <x:v>foobar</x:v>
      </x:c>
      <x:c r="C3" s="59" t="str">
        <x:v>foobar</x:v>
      </x:c>
      <x:c r="D3" s="59" t="str">
        <x:v>INVALID_OR_UNCLEAR</x:v>
      </x:c>
      <x:c r="E3" s="59" t="str">
        <x:v>CANNOT_DECIDE</x:v>
      </x:c>
      <x:c r="F3" s="59" t="str">
        <x:v>CANNOT_DECIDE</x:v>
      </x:c>
      <x:c r="G3" s="59" t="str">
        <x:v>MEDIUM</x:v>
      </x:c>
      <x:c r="H3" s="59" t="str">
        <x:v>I do not know whether it is in english or nepali, which language is it</x:v>
      </x:c>
    </x:row>
    <x:row r="4">
      <x:c r="A4" s="59" t="str">
        <x:v>R3A-5F1F96BF1D8A</x:v>
      </x:c>
      <x:c r="B4" s="59" t="str">
        <x:v>namaste</x:v>
      </x:c>
      <x:c r="C4" s="59" t="str">
        <x:v>namaste</x:v>
      </x:c>
      <x:c r="D4" s="59" t="str">
        <x:v>ROMANIZED_NEPALI</x:v>
      </x:c>
      <x:c r="E4" s="59" t="str">
        <x:v>DEVANAGARI_TARGET_REQUIRED</x:v>
      </x:c>
      <x:c r="F4" s="59" t="str">
        <x:v>REQUIRED</x:v>
      </x:c>
      <x:c r="G4" s="59" t="str">
        <x:v>HIGH</x:v>
      </x:c>
      <x:c r="H4" s="59" t="str">
        <x:v>Nepali term written in Romanized</x:v>
      </x:c>
    </x:row>
    <x:row r="5">
      <x:c r="A5" s="59" t="str">
        <x:v>R3A-E4A4DA896D92</x:v>
      </x:c>
      <x:c r="B5" s="59" t="str">
        <x:v>debit</x:v>
      </x:c>
      <x:c r="C5" s="59" t="str">
        <x:v>debit</x:v>
      </x:c>
      <x:c r="D5" s="59" t="str">
        <x:v>ENGLISH_TERM</x:v>
      </x:c>
      <x:c r="E5" s="59" t="str">
        <x:v>BOTH_EQUAL_REVIEW_REQUIRED</x:v>
      </x:c>
      <x:c r="F5" s="59" t="str">
        <x:v>REQUIRED</x:v>
      </x:c>
      <x:c r="G5" s="59" t="str">
        <x:v>HIGH</x:v>
      </x:c>
      <x:c r="H5" s="59" t="str">
        <x:v>In nepali also it can be romanized word with same meaning, it can  also be name of any human</x:v>
      </x:c>
    </x:row>
    <x:row r="6">
      <x:c r="A6" s="59" t="str">
        <x:v>R3A-E5A7E27F52DC</x:v>
      </x:c>
      <x:c r="B6" s="59" t="str">
        <x:v>is</x:v>
      </x:c>
      <x:c r="C6" s="59" t="str">
        <x:v>is</x:v>
      </x:c>
      <x:c r="D6" s="59" t="str">
        <x:v>ENGLISH_TERM</x:v>
      </x:c>
      <x:c r="E6" s="59" t="str">
        <x:v>LATIN_IDENTITY_REQUIRED</x:v>
      </x:c>
      <x:c r="F6" s="59" t="str">
        <x:v>OPTIONAL</x:v>
      </x:c>
      <x:c r="G6" s="59" t="str">
        <x:v>HIGH</x:v>
      </x:c>
      <x:c r="H6" s="59" t="str">
        <x:v>English but can also come in connection with other words in Romanized english</x:v>
      </x:c>
    </x:row>
    <x:row r="7">
      <x:c r="A7" s="59" t="str">
        <x:v>R3A-08D2D9E18C3E</x:v>
      </x:c>
      <x:c r="B7" s="59" t="str">
        <x:v>foobar</x:v>
      </x:c>
      <x:c r="C7" s="59" t="str">
        <x:v>foobar</x:v>
      </x:c>
      <x:c r="D7" s="59" t="str">
        <x:v>INVALID_OR_UNCLEAR</x:v>
      </x:c>
      <x:c r="E7" s="59" t="str">
        <x:v>CANNOT_DECIDE</x:v>
      </x:c>
      <x:c r="F7" s="59" t="str">
        <x:v>CANNOT_DECIDE</x:v>
      </x:c>
      <x:c r="G7" s="59" t="str">
        <x:v>MEDIUM</x:v>
      </x:c>
      <x:c r="H7" s="59" t="str">
        <x:v>I do not know whether it is in english or nepali, which language is it, in any context it may have any meaning</x:v>
      </x:c>
    </x:row>
    <x:row r="8">
      <x:c r="A8" s="59" t="str">
        <x:v>R3A-347C5BF89E23</x:v>
      </x:c>
      <x:c r="B8" s="59" t="str">
        <x:v>dhanyabad</x:v>
      </x:c>
      <x:c r="C8" s="59" t="str">
        <x:v>dhanyabad</x:v>
      </x:c>
      <x:c r="D8" s="59" t="str">
        <x:v>ROMANIZED_NEPALI</x:v>
      </x:c>
      <x:c r="E8" s="59" t="str">
        <x:v>DEVANAGARI_TARGET_REQUIRED</x:v>
      </x:c>
      <x:c r="F8" s="59" t="str">
        <x:v>REQUIRED</x:v>
      </x:c>
      <x:c r="G8" s="59" t="str">
        <x:v>HIGH</x:v>
      </x:c>
      <x:c r="H8" s="59" t="str">
        <x:v>Nepali term written in Romanized</x:v>
      </x:c>
    </x:row>
    <x:row r="9">
      <x:c r="A9" s="59" t="str">
        <x:v>R3A-2D51C4838C53</x:v>
      </x:c>
      <x:c r="B9" s="59" t="str">
        <x:v>of</x:v>
      </x:c>
      <x:c r="C9" s="59" t="str">
        <x:v>of</x:v>
      </x:c>
      <x:c r="D9" s="59" t="str">
        <x:v>ENGLISH_TERM</x:v>
      </x:c>
      <x:c r="E9" s="59" t="str">
        <x:v>LATIN_IDENTITY_REQUIRED</x:v>
      </x:c>
      <x:c r="F9" s="59" t="str">
        <x:v>OPTIONAL</x:v>
      </x:c>
      <x:c r="G9" s="59" t="str">
        <x:v>HIGH</x:v>
      </x:c>
      <x:c r="H9" s="59" t="str">
        <x:v>English but can also come in connection with other words in Romanized english</x:v>
      </x:c>
    </x:row>
    <x:row r="10">
      <x:c r="A10" s="59" t="str">
        <x:v>R3A-70E44521539E</x:v>
      </x:c>
      <x:c r="B10" s="59" t="str">
        <x:v>qwerty</x:v>
      </x:c>
      <x:c r="C10" s="59" t="str">
        <x:v>qwerty</x:v>
      </x:c>
      <x:c r="D10" s="59" t="str">
        <x:v>INVALID_OR_UNCLEAR</x:v>
      </x:c>
      <x:c r="E10" s="59" t="str">
        <x:v>CANNOT_DECIDE</x:v>
      </x:c>
      <x:c r="F10" s="59" t="str">
        <x:v>CANNOT_DECIDE</x:v>
      </x:c>
      <x:c r="G10" s="59" t="str">
        <x:v>MEDIUM</x:v>
      </x:c>
      <x:c r="H10" s="59" t="str">
        <x:v>I do not know whether it is in english or nepali, which language is it, in any context it may have any meaning</x:v>
      </x:c>
    </x:row>
    <x:row r="11">
      <x:c r="A11" s="59" t="str">
        <x:v>R3A-3E876C1291B7</x:v>
      </x:c>
      <x:c r="B11" s="59" t="str">
        <x:v>qwerty</x:v>
      </x:c>
      <x:c r="C11" s="59" t="str">
        <x:v>qwerty</x:v>
      </x:c>
      <x:c r="D11" s="59" t="str">
        <x:v>INVALID_OR_UNCLEAR</x:v>
      </x:c>
      <x:c r="E11" s="59" t="str">
        <x:v>CANNOT_DECIDE</x:v>
      </x:c>
      <x:c r="F11" s="59" t="str">
        <x:v>CANNOT_DECIDE</x:v>
      </x:c>
      <x:c r="G11" s="59" t="str">
        <x:v>MEDIUM</x:v>
      </x:c>
      <x:c r="H11" s="59" t="str">
        <x:v>I do not know whether it is in english or nepali, which language is it, in any context it may have any meaning</x:v>
      </x:c>
    </x:row>
    <x:row r="12">
      <x:c r="A12" s="59" t="str">
        <x:v>R3A-39EB0539DAC9</x:v>
      </x:c>
      <x:c r="B12" s="59" t="str">
        <x:v>purchase</x:v>
      </x:c>
      <x:c r="C12" s="59" t="str">
        <x:v>purchase</x:v>
      </x:c>
      <x:c r="D12" s="59" t="str">
        <x:v>ENGLISH_TERM</x:v>
      </x:c>
      <x:c r="E12" s="59" t="str">
        <x:v>LATIN_IDENTITY_REQUIRED</x:v>
      </x:c>
      <x:c r="F12" s="59" t="str">
        <x:v>OPTIONAL</x:v>
      </x:c>
      <x:c r="G12" s="59" t="str">
        <x:v>HIGH</x:v>
      </x:c>
      <x:c r="H12" s="59" t="str">
        <x:v>English but can also come in connection with other words in Romanized english</x:v>
      </x:c>
    </x:row>
    <x:row r="13">
      <x:c r="A13" s="59" t="str">
        <x:v>R3A-A5F31D8C84CB</x:v>
      </x:c>
      <x:c r="B13" s="59" t="str">
        <x:v>jaanu</x:v>
      </x:c>
      <x:c r="C13" s="59" t="str">
        <x:v>jaanu</x:v>
      </x:c>
      <x:c r="D13" s="59" t="str">
        <x:v>ROMANIZED_NEPALI</x:v>
      </x:c>
      <x:c r="E13" s="59" t="str">
        <x:v>DEVANAGARI_TARGET_REQUIRED</x:v>
      </x:c>
      <x:c r="F13" s="59" t="str">
        <x:v>REQUIRED</x:v>
      </x:c>
      <x:c r="G13" s="59" t="str">
        <x:v>HIGH</x:v>
      </x:c>
      <x:c r="H13" s="59" t="str">
        <x:v>Nepali term written in Romanized</x:v>
      </x:c>
    </x:row>
    <x:row r="14">
      <x:c r="A14" s="59" t="str">
        <x:v>R3A-CC3C5545DFF2</x:v>
      </x:c>
      <x:c r="B14" s="59" t="str">
        <x:v>sale</x:v>
      </x:c>
      <x:c r="C14" s="59" t="str">
        <x:v>sale</x:v>
      </x:c>
      <x:c r="D14" s="59" t="str">
        <x:v>ENGLISH_TERM</x:v>
      </x:c>
      <x:c r="E14" s="59" t="str">
        <x:v>LATIN_IDENTITY_REQUIRED</x:v>
      </x:c>
      <x:c r="F14" s="59" t="str">
        <x:v>OPTIONAL</x:v>
      </x:c>
      <x:c r="G14" s="59" t="str">
        <x:v>HIGH</x:v>
      </x:c>
      <x:c r="H14" s="59" t="str">
        <x:v>English but can also come in connection with other words in Romanized english</x:v>
      </x:c>
    </x:row>
    <x:row r="15">
      <x:c r="A15" s="59" t="str">
        <x:v>R3A-CDED5E4068C3</x:v>
      </x:c>
      <x:c r="B15" s="59" t="str">
        <x:v>advance</x:v>
      </x:c>
      <x:c r="C15" s="59" t="str">
        <x:v>advance</x:v>
      </x:c>
      <x:c r="D15" s="59" t="str">
        <x:v>ENGLISH_TERM</x:v>
      </x:c>
      <x:c r="E15" s="59" t="str">
        <x:v>LATIN_IDENTITY_REQUIRED</x:v>
      </x:c>
      <x:c r="F15" s="59" t="str">
        <x:v>OPTIONAL</x:v>
      </x:c>
      <x:c r="G15" s="59" t="str">
        <x:v>HIGH</x:v>
      </x:c>
      <x:c r="H15" s="59" t="str">
        <x:v>English but can also come in connection with other words in Romanized english</x:v>
      </x:c>
    </x:row>
    <x:row r="16">
      <x:c r="A16" s="59" t="str">
        <x:v>R3A-FD1643D2A572</x:v>
      </x:c>
      <x:c r="B16" s="59" t="str">
        <x:v>xyzzy</x:v>
      </x:c>
      <x:c r="C16" s="59" t="str">
        <x:v>xyzzy</x:v>
      </x:c>
      <x:c r="D16" s="59" t="str">
        <x:v>INVALID_OR_UNCLEAR</x:v>
      </x:c>
      <x:c r="E16" s="59" t="str">
        <x:v>CANNOT_DECIDE</x:v>
      </x:c>
      <x:c r="F16" s="59" t="str">
        <x:v>CANNOT_DECIDE</x:v>
      </x:c>
      <x:c r="G16" s="59" t="str">
        <x:v>MEDIUM</x:v>
      </x:c>
      <x:c r="H16" s="59" t="str">
        <x:v>I do not know whether it is in english or nepali, which language is it, in any context it may have any meaning</x:v>
      </x:c>
    </x:row>
    <x:row r="17">
      <x:c r="A17" s="59" t="str">
        <x:v>R3A-CBCF674A4003</x:v>
      </x:c>
      <x:c r="B17" s="59" t="str">
        <x:v>report</x:v>
      </x:c>
      <x:c r="C17" s="59" t="str">
        <x:v>report</x:v>
      </x:c>
      <x:c r="D17" s="59" t="str">
        <x:v>ENGLISH_TERM</x:v>
      </x:c>
      <x:c r="E17" s="59" t="str">
        <x:v>LATIN_IDENTITY_REQUIRED</x:v>
      </x:c>
      <x:c r="F17" s="59" t="str">
        <x:v>OPTIONAL</x:v>
      </x:c>
      <x:c r="G17" s="59" t="str">
        <x:v>HIGH</x:v>
      </x:c>
      <x:c r="H17" s="59" t="str">
        <x:v>English but can also come in connection with other words in Romanized english</x:v>
      </x:c>
    </x:row>
    <x:row r="18">
      <x:c r="A18" s="59" t="str">
        <x:v>R3A-D81C5B5C3197</x:v>
      </x:c>
      <x:c r="B18" s="59" t="str">
        <x:v>due</x:v>
      </x:c>
      <x:c r="C18" s="59" t="str">
        <x:v>due</x:v>
      </x:c>
      <x:c r="D18" s="59" t="str">
        <x:v>ENGLISH_TERM</x:v>
      </x:c>
      <x:c r="E18" s="59" t="str">
        <x:v>LATIN_IDENTITY_REQUIRED</x:v>
      </x:c>
      <x:c r="F18" s="59" t="str">
        <x:v>OPTIONAL</x:v>
      </x:c>
      <x:c r="G18" s="59" t="str">
        <x:v>HIGH</x:v>
      </x:c>
      <x:c r="H18" s="59" t="str">
        <x:v>English but can also come in connection with other words in Romanized english</x:v>
      </x:c>
    </x:row>
    <x:row r="19">
      <x:c r="A19" s="59" t="str">
        <x:v>R3A-2CAD17A31352</x:v>
      </x:c>
      <x:c r="B19" s="59" t="str">
        <x:v>total</x:v>
      </x:c>
      <x:c r="C19" s="59" t="str">
        <x:v>total</x:v>
      </x:c>
      <x:c r="D19" s="59" t="str">
        <x:v>ENGLISH_TERM</x:v>
      </x:c>
      <x:c r="E19" s="59" t="str">
        <x:v>LATIN_IDENTITY_REQUIRED</x:v>
      </x:c>
      <x:c r="F19" s="59" t="str">
        <x:v>OPTIONAL</x:v>
      </x:c>
      <x:c r="G19" s="59" t="str">
        <x:v>HIGH</x:v>
      </x:c>
      <x:c r="H19" s="59" t="str">
        <x:v>English but can also come in connection with other words in Romanized english</x:v>
      </x:c>
    </x:row>
    <x:row r="20">
      <x:c r="A20" s="59" t="str">
        <x:v>R3A-C55159DEA9B4</x:v>
      </x:c>
      <x:c r="B20" s="59" t="str">
        <x:v>balance</x:v>
      </x:c>
      <x:c r="C20" s="59" t="str">
        <x:v>balance</x:v>
      </x:c>
      <x:c r="D20" s="59" t="str">
        <x:v>ENGLISH_TERM</x:v>
      </x:c>
      <x:c r="E20" s="59" t="str">
        <x:v>LATIN_IDENTITY_REQUIRED</x:v>
      </x:c>
      <x:c r="F20" s="59" t="str">
        <x:v>OPTIONAL</x:v>
      </x:c>
      <x:c r="G20" s="59" t="str">
        <x:v>HIGH</x:v>
      </x:c>
      <x:c r="H20" s="59" t="str">
        <x:v>English but can also come in connection with other words in Romanized english</x:v>
      </x:c>
    </x:row>
    <x:row r="21">
      <x:c r="A21" s="59" t="str">
        <x:v>R3A-6D65C017CF24</x:v>
      </x:c>
      <x:c r="B21" s="59" t="str">
        <x:v>lekh</x:v>
      </x:c>
      <x:c r="C21" s="59" t="str">
        <x:v>lekh</x:v>
      </x:c>
      <x:c r="D21" s="59" t="str">
        <x:v>ROMANIZED_NEPALI</x:v>
      </x:c>
      <x:c r="E21" s="59" t="str">
        <x:v>DEVANAGARI_TARGET_REQUIRED</x:v>
      </x:c>
      <x:c r="F21" s="59" t="str">
        <x:v>REQUIRED</x:v>
      </x:c>
      <x:c r="G21" s="59" t="str">
        <x:v>HIGH</x:v>
      </x:c>
      <x:c r="H21" s="59" t="str">
        <x:v>Nepali term written in Romanized</x:v>
      </x:c>
    </x:row>
    <x:row r="22">
      <x:c r="A22" s="59" t="str">
        <x:v>R3A-433EDC9F6C5E</x:v>
      </x:c>
      <x:c r="B22" s="59" t="str">
        <x:v>dherai</x:v>
      </x:c>
      <x:c r="C22" s="59" t="str">
        <x:v>dherai</x:v>
      </x:c>
      <x:c r="D22" s="59" t="str">
        <x:v>ROMANIZED_NEPALI</x:v>
      </x:c>
      <x:c r="E22" s="59" t="str">
        <x:v>DEVANAGARI_TARGET_REQUIRED</x:v>
      </x:c>
      <x:c r="F22" s="59" t="str">
        <x:v>REQUIRED</x:v>
      </x:c>
      <x:c r="G22" s="59" t="str">
        <x:v>HIGH</x:v>
      </x:c>
      <x:c r="H22" s="59" t="str">
        <x:v>Nepali term written in Romanized</x:v>
      </x:c>
    </x:row>
    <x:row r="23">
      <x:c r="A23" s="59" t="str">
        <x:v>R3A-79B012C03064</x:v>
      </x:c>
      <x:c r="B23" s="59" t="str">
        <x:v>sabai</x:v>
      </x:c>
      <x:c r="C23" s="59" t="str">
        <x:v>sabai</x:v>
      </x:c>
      <x:c r="D23" s="59" t="str">
        <x:v>ROMANIZED_NEPALI</x:v>
      </x:c>
      <x:c r="E23" s="59" t="str">
        <x:v>DEVANAGARI_TARGET_REQUIRED</x:v>
      </x:c>
      <x:c r="F23" s="59" t="str">
        <x:v>REQUIRED</x:v>
      </x:c>
      <x:c r="G23" s="59" t="str">
        <x:v>HIGH</x:v>
      </x:c>
      <x:c r="H23" s="59" t="str">
        <x:v>Nepali term written in Romanized</x:v>
      </x:c>
    </x:row>
    <x:row r="24">
      <x:c r="A24" s="59" t="str">
        <x:v>R3A-589DC1F8F577</x:v>
      </x:c>
      <x:c r="B24" s="59" t="str">
        <x:v>voucher</x:v>
      </x:c>
      <x:c r="C24" s="59" t="str">
        <x:v>voucher</x:v>
      </x:c>
      <x:c r="D24" s="59" t="str">
        <x:v>ENGLISH_TERM</x:v>
      </x:c>
      <x:c r="E24" s="59" t="str">
        <x:v>LATIN_IDENTITY_REQUIRED</x:v>
      </x:c>
      <x:c r="F24" s="59" t="str">
        <x:v>OPTIONAL</x:v>
      </x:c>
      <x:c r="G24" s="59" t="str">
        <x:v>HIGH</x:v>
      </x:c>
      <x:c r="H24" s="59" t="str">
        <x:v>English but can also come in connection with other words in Romanized english</x:v>
      </x:c>
    </x:row>
    <x:row r="25">
      <x:c r="A25" s="59" t="str">
        <x:v>R3A-249ADDBC500F</x:v>
      </x:c>
      <x:c r="B25" s="59" t="str">
        <x:v>amount</x:v>
      </x:c>
      <x:c r="C25" s="59" t="str">
        <x:v>amount</x:v>
      </x:c>
      <x:c r="D25" s="59" t="str">
        <x:v>ENGLISH_TERM</x:v>
      </x:c>
      <x:c r="E25" s="59" t="str">
        <x:v>LATIN_IDENTITY_REQUIRED</x:v>
      </x:c>
      <x:c r="F25" s="59" t="str">
        <x:v>OPTIONAL</x:v>
      </x:c>
      <x:c r="G25" s="59" t="str">
        <x:v>HIGH</x:v>
      </x:c>
      <x:c r="H25" s="59" t="str">
        <x:v>English but can also come in connection with other words in Romanized english</x:v>
      </x:c>
    </x:row>
    <x:row r="26">
      <x:c r="A26" s="59" t="str">
        <x:v>R3A-C7D45E4B6625</x:v>
      </x:c>
      <x:c r="B26" s="59" t="str">
        <x:v>znxg</x:v>
      </x:c>
      <x:c r="C26" s="59" t="str">
        <x:v>znxg</x:v>
      </x:c>
      <x:c r="D26" s="59" t="str">
        <x:v>INVALID_OR_UNCLEAR</x:v>
      </x:c>
      <x:c r="E26" s="59" t="str">
        <x:v>CANNOT_DECIDE</x:v>
      </x:c>
      <x:c r="F26" s="59" t="str">
        <x:v>CANNOT_DECIDE</x:v>
      </x:c>
      <x:c r="G26" s="59" t="str">
        <x:v>MEDIUM</x:v>
      </x:c>
      <x:c r="H26" s="59" t="str">
        <x:v>I do not know whether it is in english or nepali, which language is it, in any context it may have any meaning</x:v>
      </x:c>
    </x:row>
    <x:row r="27">
      <x:c r="A27" s="59" t="str">
        <x:v>R3A-1ECE91757DA9</x:v>
      </x:c>
      <x:c r="B27" s="59" t="str">
        <x:v>blorp</x:v>
      </x:c>
      <x:c r="C27" s="59" t="str">
        <x:v>blorp</x:v>
      </x:c>
      <x:c r="D27" s="59" t="str">
        <x:v>INVALID_OR_UNCLEAR</x:v>
      </x:c>
      <x:c r="E27" s="59" t="str">
        <x:v>CANNOT_DECIDE</x:v>
      </x:c>
      <x:c r="F27" s="59" t="str">
        <x:v>CANNOT_DECIDE</x:v>
      </x:c>
      <x:c r="G27" s="59" t="str">
        <x:v>MEDIUM</x:v>
      </x:c>
      <x:c r="H27" s="59" t="str">
        <x:v>I do not know whether it is in english or nepali, which language is it, in any context it may have any meaning</x:v>
      </x:c>
    </x:row>
    <x:row r="28">
      <x:c r="A28" s="59" t="str">
        <x:v>R3A-1E521567ADDA</x:v>
      </x:c>
      <x:c r="B28" s="59" t="str">
        <x:v>mary</x:v>
      </x:c>
      <x:c r="C28" s="59" t="str">
        <x:v>mary</x:v>
      </x:c>
      <x:c r="D28" s="59" t="str">
        <x:v>ENGLISH_TERM</x:v>
      </x:c>
      <x:c r="E28" s="59" t="str">
        <x:v>LATIN_IDENTITY_REQUIRED</x:v>
      </x:c>
      <x:c r="F28" s="59" t="str">
        <x:v>OPTIONAL</x:v>
      </x:c>
      <x:c r="G28" s="59" t="str">
        <x:v>HIGH</x:v>
      </x:c>
      <x:c r="H28" s="59" t="str">
        <x:v>English but can also come in connection with other words in Romanized english</x:v>
      </x:c>
    </x:row>
    <x:row r="29">
      <x:c r="A29" s="59" t="str">
        <x:v>R3A-F3D8DE0BFE22</x:v>
      </x:c>
      <x:c r="B29" s="59" t="str">
        <x:v>xyzzy</x:v>
      </x:c>
      <x:c r="C29" s="59" t="str">
        <x:v>xyzzy</x:v>
      </x:c>
      <x:c r="D29" s="59" t="str">
        <x:v>INVALID_OR_UNCLEAR</x:v>
      </x:c>
      <x:c r="E29" s="59" t="str">
        <x:v>CANNOT_DECIDE</x:v>
      </x:c>
      <x:c r="F29" s="59" t="str">
        <x:v>CANNOT_DECIDE</x:v>
      </x:c>
      <x:c r="G29" s="59" t="str">
        <x:v>MEDIUM</x:v>
      </x:c>
      <x:c r="H29" s="59" t="str">
        <x:v>I do not know whether it is in english or nepali, which language is it, in any context it may have any meaning</x:v>
      </x:c>
    </x:row>
    <x:row r="30">
      <x:c r="A30" s="59" t="str">
        <x:v>R3A-BA4616E7C135</x:v>
      </x:c>
      <x:c r="B30" s="59" t="str">
        <x:v>owner</x:v>
      </x:c>
      <x:c r="C30" s="59" t="str">
        <x:v>owner</x:v>
      </x:c>
      <x:c r="D30" s="59" t="str">
        <x:v>ENGLISH_TERM</x:v>
      </x:c>
      <x:c r="E30" s="59" t="str">
        <x:v>LATIN_IDENTITY_REQUIRED</x:v>
      </x:c>
      <x:c r="F30" s="59" t="str">
        <x:v>OPTIONAL</x:v>
      </x:c>
      <x:c r="G30" s="59" t="str">
        <x:v>HIGH</x:v>
      </x:c>
      <x:c r="H30" s="59" t="str">
        <x:v>English but can also come in connection with other words in Romanized english</x:v>
      </x:c>
    </x:row>
    <x:row r="31">
      <x:c r="A31" s="59" t="str">
        <x:v>R3A-52B1B116547F</x:v>
      </x:c>
      <x:c r="B31" s="59" t="str">
        <x:v>anita</x:v>
      </x:c>
      <x:c r="C31" s="59" t="str">
        <x:v>anita</x:v>
      </x:c>
      <x:c r="D31" s="59" t="str">
        <x:v>ROMANIZED_NEPALI</x:v>
      </x:c>
      <x:c r="E31" s="59" t="str">
        <x:v>DEVANAGARI_TARGET_REQUIRED</x:v>
      </x:c>
      <x:c r="F31" s="59" t="str">
        <x:v>REQUIRED</x:v>
      </x:c>
      <x:c r="G31" s="59" t="str">
        <x:v>HIGH</x:v>
      </x:c>
      <x:c r="H31" s="59" t="str">
        <x:v>In nepali context it refeerse to name of a Lady</x:v>
      </x:c>
    </x:row>
    <x:row r="32">
      <x:c r="A32" s="59" t="str">
        <x:v>R3A-DEC366606C62</x:v>
      </x:c>
      <x:c r="B32" s="59" t="str">
        <x:v>ram</x:v>
      </x:c>
      <x:c r="C32" s="59" t="str">
        <x:v>ram</x:v>
      </x:c>
      <x:c r="D32" s="59" t="str">
        <x:v>ROMANIZED_NEPALI</x:v>
      </x:c>
      <x:c r="E32" s="59" t="str">
        <x:v>DEVANAGARI_TARGET_REQUIRED</x:v>
      </x:c>
      <x:c r="F32" s="59" t="str">
        <x:v>REQUIRED</x:v>
      </x:c>
      <x:c r="G32" s="59" t="str">
        <x:v>HIGH</x:v>
      </x:c>
      <x:c r="H32" s="59" t="str">
        <x:v>In nepali context it refeerse to name of a jeants</x:v>
      </x:c>
    </x:row>
    <x:row r="33">
      <x:c r="A33" s="59" t="str">
        <x:v>R3A-E835A1D01157</x:v>
      </x:c>
      <x:c r="B33" s="59" t="str">
        <x:v>gita</x:v>
      </x:c>
      <x:c r="C33" s="59" t="str">
        <x:v>gita</x:v>
      </x:c>
      <x:c r="D33" s="59" t="str">
        <x:v>ROMANIZED_NEPALI</x:v>
      </x:c>
      <x:c r="E33" s="59" t="str">
        <x:v>DEVANAGARI_TARGET_REQUIRED</x:v>
      </x:c>
      <x:c r="F33" s="59" t="str">
        <x:v>REQUIRED</x:v>
      </x:c>
      <x:c r="G33" s="59" t="str">
        <x:v>HIGH</x:v>
      </x:c>
      <x:c r="H33" s="59" t="str">
        <x:v>In nepali context it refeerse to name of a Lady</x:v>
      </x:c>
    </x:row>
    <x:row r="34">
      <x:c r="A34" s="59" t="str">
        <x:v>R3A-F16AFA9E4AC3</x:v>
      </x:c>
      <x:c r="B34" s="59" t="str">
        <x:v>kineko</x:v>
      </x:c>
      <x:c r="C34" s="59" t="str">
        <x:v>kineko</x:v>
      </x:c>
      <x:c r="D34" s="59" t="str">
        <x:v>ROMANIZED_NEPALI</x:v>
      </x:c>
      <x:c r="E34" s="59" t="str">
        <x:v>DEVANAGARI_TARGET_REQUIRED</x:v>
      </x:c>
      <x:c r="F34" s="59" t="str">
        <x:v>REQUIRED</x:v>
      </x:c>
      <x:c r="G34" s="59" t="str">
        <x:v>HIGH</x:v>
      </x:c>
      <x:c r="H34" s="59" t="str">
        <x:v>Nepali term written in Romanized</x:v>
      </x:c>
    </x:row>
    <x:row r="35">
      <x:c r="A35" s="59" t="str">
        <x:v>R3A-2573D516AAC5</x:v>
      </x:c>
      <x:c r="B35" s="59" t="str">
        <x:v>sunnu</x:v>
      </x:c>
      <x:c r="C35" s="59" t="str">
        <x:v>sunnu</x:v>
      </x:c>
      <x:c r="D35" s="59" t="str">
        <x:v>ROMANIZED_NEPALI</x:v>
      </x:c>
      <x:c r="E35" s="59" t="str">
        <x:v>DEVANAGARI_TARGET_REQUIRED</x:v>
      </x:c>
      <x:c r="F35" s="59" t="str">
        <x:v>REQUIRED</x:v>
      </x:c>
      <x:c r="G35" s="59" t="str">
        <x:v>HIGH</x:v>
      </x:c>
      <x:c r="H35" s="59" t="str">
        <x:v>Nepali term written in Romanized</x:v>
      </x:c>
    </x:row>
    <x:row r="36">
      <x:c r="A36" s="59" t="str">
        <x:v>R3A-11C576A29373</x:v>
      </x:c>
      <x:c r="B36" s="59" t="str">
        <x:v>loss</x:v>
      </x:c>
      <x:c r="C36" s="59" t="str">
        <x:v>loss</x:v>
      </x:c>
      <x:c r="D36" s="59" t="str">
        <x:v>ENGLISH_TERM</x:v>
      </x:c>
      <x:c r="E36" s="59" t="str">
        <x:v>LATIN_IDENTITY_REQUIRED</x:v>
      </x:c>
      <x:c r="F36" s="59" t="str">
        <x:v>OPTIONAL</x:v>
      </x:c>
      <x:c r="G36" s="59" t="str">
        <x:v>HIGH</x:v>
      </x:c>
      <x:c r="H36" s="59" t="str">
        <x:v>English but can also come in connection with other words in Romanized english</x:v>
      </x:c>
    </x:row>
    <x:row r="37">
      <x:c r="A37" s="59" t="str">
        <x:v>R3A-458970948EDF</x:v>
      </x:c>
      <x:c r="B37" s="59" t="str">
        <x:v>unit</x:v>
      </x:c>
      <x:c r="C37" s="59" t="str">
        <x:v>unit</x:v>
      </x:c>
      <x:c r="D37" s="59" t="str">
        <x:v>ENGLISH_TERM</x:v>
      </x:c>
      <x:c r="E37" s="59" t="str">
        <x:v>LATIN_IDENTITY_REQUIRED</x:v>
      </x:c>
      <x:c r="F37" s="59" t="str">
        <x:v>OPTIONAL</x:v>
      </x:c>
      <x:c r="G37" s="59" t="str">
        <x:v>HIGH</x:v>
      </x:c>
      <x:c r="H37" s="59" t="str">
        <x:v>English but can also come in connection with other words in Romanized english</x:v>
      </x:c>
    </x:row>
    <x:row r="38">
      <x:c r="A38" s="59" t="str">
        <x:v>R3A-B4C60C073F8C</x:v>
      </x:c>
      <x:c r="B38" s="59" t="str">
        <x:v>supplier</x:v>
      </x:c>
      <x:c r="C38" s="59" t="str">
        <x:v>supplier</x:v>
      </x:c>
      <x:c r="D38" s="59" t="str">
        <x:v>ENGLISH_TERM</x:v>
      </x:c>
      <x:c r="E38" s="59" t="str">
        <x:v>LATIN_IDENTITY_REQUIRED</x:v>
      </x:c>
      <x:c r="F38" s="59" t="str">
        <x:v>OPTIONAL</x:v>
      </x:c>
      <x:c r="G38" s="59" t="str">
        <x:v>HIGH</x:v>
      </x:c>
      <x:c r="H38" s="59" t="str">
        <x:v>English but can also come in connection with other words in Romanized english</x:v>
      </x:c>
    </x:row>
    <x:row r="39">
      <x:c r="A39" s="59" t="str">
        <x:v>R3A-CFE4B5AA9EC9</x:v>
      </x:c>
      <x:c r="B39" s="59" t="str">
        <x:v>aja</x:v>
      </x:c>
      <x:c r="C39" s="59" t="str">
        <x:v>aja</x:v>
      </x:c>
      <x:c r="D39" s="59" t="str">
        <x:v>ROMANIZED_NEPALI</x:v>
      </x:c>
      <x:c r="E39" s="59" t="str">
        <x:v>DEVANAGARI_TARGET_REQUIRED</x:v>
      </x:c>
      <x:c r="F39" s="59" t="str">
        <x:v>REQUIRED</x:v>
      </x:c>
      <x:c r="G39" s="59" t="str">
        <x:v>HIGH</x:v>
      </x:c>
      <x:c r="H39" s="59" t="str">
        <x:v>Nepali term written in Romanized</x:v>
      </x:c>
    </x:row>
    <x:row r="40">
      <x:c r="A40" s="59" t="str">
        <x:v>R3A-8C7D6F3ED27B</x:v>
      </x:c>
      <x:c r="B40" s="59" t="str">
        <x:v>preeti</x:v>
      </x:c>
      <x:c r="C40" s="59" t="str">
        <x:v>preeti</x:v>
      </x:c>
      <x:c r="D40" s="59" t="str">
        <x:v>ROMANIZED_NEPALI</x:v>
      </x:c>
      <x:c r="E40" s="59" t="str">
        <x:v>DEVANAGARI_TARGET_REQUIRED</x:v>
      </x:c>
      <x:c r="F40" s="59" t="str">
        <x:v>REQUIRED</x:v>
      </x:c>
      <x:c r="G40" s="59" t="str">
        <x:v>HIGH</x:v>
      </x:c>
      <x:c r="H40" s="59" t="str">
        <x:v>In nepali context it refeerse to name of a Lady</x:v>
      </x:c>
    </x:row>
    <x:row r="41">
      <x:c r="A41" s="59" t="str">
        <x:v>R3A-DD00E9658A07</x:v>
      </x:c>
      <x:c r="B41" s="59" t="str">
        <x:v>garidim</x:v>
      </x:c>
      <x:c r="C41" s="59" t="str">
        <x:v>garidim</x:v>
      </x:c>
      <x:c r="D41" s="59" t="str">
        <x:v>ROMANIZED_NEPALI</x:v>
      </x:c>
      <x:c r="E41" s="59" t="str">
        <x:v>DEVANAGARI_TARGET_REQUIRED</x:v>
      </x:c>
      <x:c r="F41" s="59" t="str">
        <x:v>REQUIRED</x:v>
      </x:c>
      <x:c r="G41" s="59" t="str">
        <x:v>HIGH</x:v>
      </x:c>
      <x:c r="H41" s="59" t="str">
        <x:v>Nepali term written in Romanized</x:v>
      </x:c>
    </x:row>
    <x:row r="42">
      <x:c r="A42" s="59" t="str">
        <x:v>R3A-19BD164EF09F</x:v>
      </x:c>
      <x:c r="B42" s="59" t="str">
        <x:v>ledger</x:v>
      </x:c>
      <x:c r="C42" s="59" t="str">
        <x:v>ledger</x:v>
      </x:c>
      <x:c r="D42" s="59" t="str">
        <x:v>ENGLISH_TERM</x:v>
      </x:c>
      <x:c r="E42" s="59" t="str">
        <x:v>LATIN_IDENTITY_REQUIRED</x:v>
      </x:c>
      <x:c r="F42" s="59" t="str">
        <x:v>OPTIONAL</x:v>
      </x:c>
      <x:c r="G42" s="59" t="str">
        <x:v>HIGH</x:v>
      </x:c>
      <x:c r="H42" s="59" t="str">
        <x:v>English but can also come in connection with other words in Romanized english</x:v>
      </x:c>
    </x:row>
    <x:row r="43">
      <x:c r="A43" s="59" t="str">
        <x:v>R3A-746D07D2BE40</x:v>
      </x:c>
      <x:c r="B43" s="59" t="str">
        <x:v>dekhau</x:v>
      </x:c>
      <x:c r="C43" s="59" t="str">
        <x:v>dekhau</x:v>
      </x:c>
      <x:c r="D43" s="59" t="str">
        <x:v>ROMANIZED_NEPALI</x:v>
      </x:c>
      <x:c r="E43" s="59" t="str">
        <x:v>DEVANAGARI_TARGET_REQUIRED</x:v>
      </x:c>
      <x:c r="F43" s="59" t="str">
        <x:v>REQUIRED</x:v>
      </x:c>
      <x:c r="G43" s="59" t="str">
        <x:v>HIGH</x:v>
      </x:c>
      <x:c r="H43" s="59" t="str">
        <x:v>Nepali term written in Romanized</x:v>
      </x:c>
    </x:row>
    <x:row r="44">
      <x:c r="A44" s="59" t="str">
        <x:v>R3A-2DC856D4D6FF</x:v>
      </x:c>
      <x:c r="B44" s="59" t="str">
        <x:v>xu</x:v>
      </x:c>
      <x:c r="C44" s="59" t="str">
        <x:v>xu</x:v>
      </x:c>
      <x:c r="D44" s="59" t="str">
        <x:v>ROMANIZED_NEPALI</x:v>
      </x:c>
      <x:c r="E44" s="59" t="str">
        <x:v>DEVANAGARI_TARGET_REQUIRED</x:v>
      </x:c>
      <x:c r="F44" s="59" t="str">
        <x:v>REQUIRED</x:v>
      </x:c>
      <x:c r="G44" s="59" t="str">
        <x:v>HIGH</x:v>
      </x:c>
      <x:c r="H44" s="59" t="str">
        <x:v>Nepali term written in Romanized</x:v>
      </x:c>
    </x:row>
    <x:row r="45">
      <x:c r="A45" s="59" t="str">
        <x:v>R3A-1C07AF58CC39</x:v>
      </x:c>
      <x:c r="B45" s="59" t="str">
        <x:v>ram dai aayo</x:v>
      </x:c>
      <x:c r="C45" s="59" t="str">
        <x:v>ram</x:v>
      </x:c>
      <x:c r="D45" s="59" t="str">
        <x:v>ROMANIZED_NEPALI</x:v>
      </x:c>
      <x:c r="E45" s="59" t="str">
        <x:v>DEVANAGARI_TARGET_REQUIRED</x:v>
      </x:c>
      <x:c r="F45" s="59" t="str">
        <x:v>REQUIRED</x:v>
      </x:c>
      <x:c r="G45" s="59" t="str">
        <x:v>HIGH</x:v>
      </x:c>
      <x:c r="H45" s="59" t="str">
        <x:v>In nepali context it refeerse to name of a male</x:v>
      </x:c>
    </x:row>
    <x:row r="46">
      <x:c r="A46" s="59" t="str">
        <x:v>R3A-0A1601A427F9</x:v>
      </x:c>
      <x:c r="B46" s="59" t="str">
        <x:v>znxg</x:v>
      </x:c>
      <x:c r="C46" s="59" t="str">
        <x:v>znxg</x:v>
      </x:c>
      <x:c r="D46" s="59" t="str">
        <x:v>INVALID_OR_UNCLEAR</x:v>
      </x:c>
      <x:c r="E46" s="59" t="str">
        <x:v>CANNOT_DECIDE</x:v>
      </x:c>
      <x:c r="F46" s="59" t="str">
        <x:v>CANNOT_DECIDE</x:v>
      </x:c>
      <x:c r="G46" s="59" t="str">
        <x:v>MEDIUM</x:v>
      </x:c>
      <x:c r="H46" s="59" t="str">
        <x:v>I do not know whether it is in english or nepali, which language is it, in any context it may have any meaning</x:v>
      </x:c>
    </x:row>
    <x:row r="47">
      <x:c r="A47" s="59" t="str">
        <x:v>R3A-9DD5A68A1E47</x:v>
      </x:c>
      <x:c r="B47" s="59" t="str">
        <x:v>thana</x:v>
      </x:c>
      <x:c r="C47" s="59" t="str">
        <x:v>thana</x:v>
      </x:c>
      <x:c r="D47" s="59" t="str">
        <x:v>ROMANIZED_NEPALI</x:v>
      </x:c>
      <x:c r="E47" s="59" t="str">
        <x:v>DEVANAGARI_TARGET_REQUIRED</x:v>
      </x:c>
      <x:c r="F47" s="59" t="str">
        <x:v>REQUIRED</x:v>
      </x:c>
      <x:c r="G47" s="59" t="str">
        <x:v>HIGH</x:v>
      </x:c>
      <x:c r="H47" s="59" t="str">
        <x:v>it means station like police thana means police station</x:v>
      </x:c>
    </x:row>
    <x:row r="48">
      <x:c r="A48" s="59" t="str">
        <x:v>R3A-87A3E123EEB2</x:v>
      </x:c>
      <x:c r="B48" s="59" t="str">
        <x:v>hari</x:v>
      </x:c>
      <x:c r="C48" s="59" t="str">
        <x:v>hari</x:v>
      </x:c>
      <x:c r="D48" s="59" t="str">
        <x:v>ROMANIZED_NEPALI</x:v>
      </x:c>
      <x:c r="E48" s="59" t="str">
        <x:v>DEVANAGARI_TARGET_REQUIRED</x:v>
      </x:c>
      <x:c r="F48" s="59" t="str">
        <x:v>REQUIRED</x:v>
      </x:c>
      <x:c r="G48" s="59" t="str">
        <x:v>HIGH</x:v>
      </x:c>
      <x:c r="H48" s="59" t="str">
        <x:v>In nepali context it refeerse to name of a male</x:v>
      </x:c>
    </x:row>
    <x:row r="49">
      <x:c r="A49" s="59" t="str">
        <x:v>R3A-3D948BB91CB2</x:v>
      </x:c>
      <x:c r="B49" s="59" t="str">
        <x:v>commission</x:v>
      </x:c>
      <x:c r="C49" s="59" t="str">
        <x:v>commission</x:v>
      </x:c>
      <x:c r="D49" s="59" t="str">
        <x:v>ENGLISH_TERM</x:v>
      </x:c>
      <x:c r="E49" s="59" t="str">
        <x:v>LATIN_IDENTITY_REQUIRED</x:v>
      </x:c>
      <x:c r="F49" s="59" t="str">
        <x:v>OPTIONAL</x:v>
      </x:c>
      <x:c r="G49" s="59" t="str">
        <x:v>HIGH</x:v>
      </x:c>
      <x:c r="H49" s="59" t="str">
        <x:v>English but can also come in connection with other words in Romanized english</x:v>
      </x:c>
    </x:row>
    <x:row r="50">
      <x:c r="A50" s="59" t="str">
        <x:v>R3A-0F7FBD8EB910</x:v>
      </x:c>
      <x:c r="B50" s="59" t="str">
        <x:v>party</x:v>
      </x:c>
      <x:c r="C50" s="59" t="str">
        <x:v>party</x:v>
      </x:c>
      <x:c r="D50" s="59" t="str">
        <x:v>ENGLISH_TERM</x:v>
      </x:c>
      <x:c r="E50" s="59" t="str">
        <x:v>LATIN_IDENTITY_REQUIRED</x:v>
      </x:c>
      <x:c r="F50" s="59" t="str">
        <x:v>OPTIONAL</x:v>
      </x:c>
      <x:c r="G50" s="59" t="str">
        <x:v>HIGH</x:v>
      </x:c>
      <x:c r="H50" s="59" t="str">
        <x:v>English but can also come in connection with other words in Romanized english</x:v>
      </x:c>
    </x:row>
    <x:row r="51">
      <x:c r="A51" s="59" t="str">
        <x:v>R3A-4B43CD1650FC</x:v>
      </x:c>
      <x:c r="B51" s="59" t="str">
        <x:v>ghata</x:v>
      </x:c>
      <x:c r="C51" s="59" t="str">
        <x:v>ghata</x:v>
      </x:c>
      <x:c r="D51" s="59" t="str">
        <x:v>ROMANIZED_NEPALI</x:v>
      </x:c>
      <x:c r="E51" s="59" t="str">
        <x:v>DEVANAGARI_TARGET_REQUIRED</x:v>
      </x:c>
      <x:c r="F51" s="59" t="str">
        <x:v>REQUIRED</x:v>
      </x:c>
      <x:c r="G51" s="59" t="str">
        <x:v>HIGH</x:v>
      </x:c>
      <x:c r="H51" s="59" t="str">
        <x:v>Nepali term written in Romanized</x:v>
      </x:c>
    </x:row>
    <x:row r="52">
      <x:c r="A52" s="59" t="str">
        <x:v>R3A-473762AA5C8F</x:v>
      </x:c>
      <x:c r="B52" s="59" t="str">
        <x:v>bholi</x:v>
      </x:c>
      <x:c r="C52" s="59" t="str">
        <x:v>bholi</x:v>
      </x:c>
      <x:c r="D52" s="59" t="str">
        <x:v>ROMANIZED_NEPALI</x:v>
      </x:c>
      <x:c r="E52" s="59" t="str">
        <x:v>DEVANAGARI_TARGET_REQUIRED</x:v>
      </x:c>
      <x:c r="F52" s="59" t="str">
        <x:v>REQUIRED</x:v>
      </x:c>
      <x:c r="G52" s="59" t="str">
        <x:v>HIGH</x:v>
      </x:c>
      <x:c r="H52" s="59" t="str">
        <x:v>Nepali term written in Romanized</x:v>
      </x:c>
    </x:row>
    <x:row r="53">
      <x:c r="A53" s="59" t="str">
        <x:v>R3A-91E0F15B74E7</x:v>
      </x:c>
      <x:c r="B53" s="59" t="str">
        <x:v>receipt</x:v>
      </x:c>
      <x:c r="C53" s="59" t="str">
        <x:v>receipt</x:v>
      </x:c>
      <x:c r="D53" s="59" t="str">
        <x:v>ENGLISH_TERM</x:v>
      </x:c>
      <x:c r="E53" s="59" t="str">
        <x:v>LATIN_IDENTITY_REQUIRED</x:v>
      </x:c>
      <x:c r="F53" s="59" t="str">
        <x:v>OPTIONAL</x:v>
      </x:c>
      <x:c r="G53" s="59" t="str">
        <x:v>HIGH</x:v>
      </x:c>
      <x:c r="H53" s="59" t="str">
        <x:v>English but can also come in connection with other words in Romanized english</x:v>
      </x:c>
    </x:row>
    <x:row r="54">
      <x:c r="A54" s="59" t="str">
        <x:v>R3A-81E39CBCED53</x:v>
      </x:c>
      <x:c r="B54" s="59" t="str">
        <x:v>ok</x:v>
      </x:c>
      <x:c r="C54" s="59" t="str">
        <x:v>ok</x:v>
      </x:c>
      <x:c r="D54" s="59" t="str">
        <x:v>ENGLISH_TERM</x:v>
      </x:c>
      <x:c r="E54" s="59" t="str">
        <x:v>LATIN_IDENTITY_REQUIRED</x:v>
      </x:c>
      <x:c r="F54" s="59" t="str">
        <x:v>OPTIONAL</x:v>
      </x:c>
      <x:c r="G54" s="59" t="str">
        <x:v>HIGH</x:v>
      </x:c>
      <x:c r="H54" s="59" t="str">
        <x:v>English but can also come in connection with other words in Romanized english</x:v>
      </x:c>
    </x:row>
    <x:row r="55">
      <x:c r="A55" s="59" t="str">
        <x:v>R3A-D741A2C87671</x:v>
      </x:c>
      <x:c r="B55" s="59" t="str">
        <x:v>plan</x:v>
      </x:c>
      <x:c r="C55" s="59" t="str">
        <x:v>plan</x:v>
      </x:c>
      <x:c r="D55" s="59" t="str">
        <x:v>ENGLISH_TERM</x:v>
      </x:c>
      <x:c r="E55" s="59" t="str">
        <x:v>LATIN_IDENTITY_REQUIRED</x:v>
      </x:c>
      <x:c r="F55" s="59" t="str">
        <x:v>OPTIONAL</x:v>
      </x:c>
      <x:c r="G55" s="59" t="str">
        <x:v>HIGH</x:v>
      </x:c>
      <x:c r="H55" s="59" t="str">
        <x:v>English but can also come in connection with other words in Romanized english</x:v>
      </x:c>
    </x:row>
    <x:row r="56">
      <x:c r="A56" s="59" t="str">
        <x:v>R3A-AB46E3F8600E</x:v>
      </x:c>
      <x:c r="B56" s="59" t="str">
        <x:v>net</x:v>
      </x:c>
      <x:c r="C56" s="59" t="str">
        <x:v>net</x:v>
      </x:c>
      <x:c r="D56" s="59" t="str">
        <x:v>ENGLISH_TERM</x:v>
      </x:c>
      <x:c r="E56" s="59" t="str">
        <x:v>LATIN_IDENTITY_REQUIRED</x:v>
      </x:c>
      <x:c r="F56" s="59" t="str">
        <x:v>OPTIONAL</x:v>
      </x:c>
      <x:c r="G56" s="59" t="str">
        <x:v>HIGH</x:v>
      </x:c>
      <x:c r="H56" s="59" t="str">
        <x:v>English but can also come in connection with other words in Romanized english</x:v>
      </x:c>
    </x:row>
    <x:row r="57">
      <x:c r="A57" s="59" t="str">
        <x:v>R3A-7874572285AD</x:v>
      </x:c>
      <x:c r="B57" s="59" t="str">
        <x:v>discount</x:v>
      </x:c>
      <x:c r="C57" s="59" t="str">
        <x:v>discount</x:v>
      </x:c>
      <x:c r="D57" s="59" t="str">
        <x:v>ENGLISH_TERM</x:v>
      </x:c>
      <x:c r="E57" s="59" t="str">
        <x:v>LATIN_IDENTITY_REQUIRED</x:v>
      </x:c>
      <x:c r="F57" s="59" t="str">
        <x:v>OPTIONAL</x:v>
      </x:c>
      <x:c r="G57" s="59" t="str">
        <x:v>HIGH</x:v>
      </x:c>
      <x:c r="H57" s="59" t="str">
        <x:v>English but can also come in connection with other words in Romanized english</x:v>
      </x:c>
    </x:row>
    <x:row r="58">
      <x:c r="A58" s="59" t="str">
        <x:v>R3A-825BB747601C</x:v>
      </x:c>
      <x:c r="B58" s="59" t="str">
        <x:v>please</x:v>
      </x:c>
      <x:c r="C58" s="59" t="str">
        <x:v>please</x:v>
      </x:c>
      <x:c r="D58" s="59" t="str">
        <x:v>ENGLISH_TERM</x:v>
      </x:c>
      <x:c r="E58" s="59" t="str">
        <x:v>LATIN_IDENTITY_REQUIRED</x:v>
      </x:c>
      <x:c r="F58" s="59" t="str">
        <x:v>OPTIONAL</x:v>
      </x:c>
      <x:c r="G58" s="59" t="str">
        <x:v>HIGH</x:v>
      </x:c>
      <x:c r="H58" s="59" t="str">
        <x:v>English but can also come in connection with other words in Romanized english</x:v>
      </x:c>
    </x:row>
    <x:row r="59">
      <x:c r="A59" s="59" t="str">
        <x:v>R3A-D41A31C71C46</x:v>
      </x:c>
      <x:c r="B59" s="59" t="str">
        <x:v>stock</x:v>
      </x:c>
      <x:c r="C59" s="59" t="str">
        <x:v>stock</x:v>
      </x:c>
      <x:c r="D59" s="59" t="str">
        <x:v>ENGLISH_TERM</x:v>
      </x:c>
      <x:c r="E59" s="59" t="str">
        <x:v>LATIN_IDENTITY_REQUIRED</x:v>
      </x:c>
      <x:c r="F59" s="59" t="str">
        <x:v>OPTIONAL</x:v>
      </x:c>
      <x:c r="G59" s="59" t="str">
        <x:v>HIGH</x:v>
      </x:c>
      <x:c r="H59" s="59" t="str">
        <x:v>English but can also come in connection with other words in Romanized english</x:v>
      </x:c>
    </x:row>
    <x:row r="60">
      <x:c r="A60" s="59" t="str">
        <x:v>R3A-A547FA55FAA3</x:v>
      </x:c>
      <x:c r="B60" s="59" t="str">
        <x:v>kine</x:v>
      </x:c>
      <x:c r="C60" s="59" t="str">
        <x:v>kine</x:v>
      </x:c>
      <x:c r="D60" s="59" t="str">
        <x:v>ROMANIZED_NEPALI</x:v>
      </x:c>
      <x:c r="E60" s="59" t="str">
        <x:v>DEVANAGARI_TARGET_REQUIRED</x:v>
      </x:c>
      <x:c r="F60" s="59" t="str">
        <x:v>REQUIRED</x:v>
      </x:c>
      <x:c r="G60" s="59" t="str">
        <x:v>HIGH</x:v>
      </x:c>
      <x:c r="H60" s="59" t="str">
        <x:v>Nepali term written in Romanized</x:v>
      </x:c>
    </x:row>
    <x:row r="61">
      <x:c r="A61" s="59" t="str">
        <x:v>R3A-59A86236B8E1</x:v>
      </x:c>
      <x:c r="B61" s="59" t="str">
        <x:v>rajeev</x:v>
      </x:c>
      <x:c r="C61" s="59" t="str">
        <x:v>rajeev</x:v>
      </x:c>
      <x:c r="D61" s="59" t="str">
        <x:v>ROMANIZED_NEPALI</x:v>
      </x:c>
      <x:c r="E61" s="59" t="str">
        <x:v>DEVANAGARI_TARGET_REQUIRED</x:v>
      </x:c>
      <x:c r="F61" s="59" t="str">
        <x:v>REQUIRED</x:v>
      </x:c>
      <x:c r="G61" s="59" t="str">
        <x:v>HIGH</x:v>
      </x:c>
      <x:c r="H61" s="59" t="str">
        <x:v>In nepali context it refeerse to name of a male</x:v>
      </x:c>
    </x:row>
    <x:row r="62">
      <x:c r="A62" s="59" t="str">
        <x:v>R3A-D7ABD644B593</x:v>
      </x:c>
      <x:c r="B62" s="59" t="str">
        <x:v>ram dai aayo</x:v>
      </x:c>
      <x:c r="C62" s="59" t="str">
        <x:v>ram</x:v>
      </x:c>
      <x:c r="D62" s="59" t="str">
        <x:v>ROMANIZED_NEPALI</x:v>
      </x:c>
      <x:c r="E62" s="59" t="str">
        <x:v>DEVANAGARI_TARGET_REQUIRED</x:v>
      </x:c>
      <x:c r="F62" s="59" t="str">
        <x:v>REQUIRED</x:v>
      </x:c>
      <x:c r="G62" s="59" t="str">
        <x:v>HIGH</x:v>
      </x:c>
      <x:c r="H62" s="59" t="str">
        <x:v>In nepali context it refeerse to name of a male</x:v>
      </x:c>
    </x:row>
    <x:row r="63">
      <x:c r="A63" s="59" t="str">
        <x:v>R3A-CBAC4A22C534</x:v>
      </x:c>
      <x:c r="B63" s="59" t="str">
        <x:v>ram dai aayo</x:v>
      </x:c>
      <x:c r="C63" s="59" t="str">
        <x:v>ram</x:v>
      </x:c>
      <x:c r="D63" s="59" t="str">
        <x:v>ROMANIZED_NEPALI</x:v>
      </x:c>
      <x:c r="E63" s="59" t="str">
        <x:v>DEVANAGARI_TARGET_REQUIRED</x:v>
      </x:c>
      <x:c r="F63" s="59" t="str">
        <x:v>REQUIRED</x:v>
      </x:c>
      <x:c r="G63" s="59" t="str">
        <x:v>HIGH</x:v>
      </x:c>
      <x:c r="H63" s="59" t="str">
        <x:v>In nepali context it refeerse to name of a male, it may mean computer hardware component in english</x:v>
      </x:c>
    </x:row>
    <x:row r="64">
      <x:c r="A64" s="59" t="str">
        <x:v>R3A-BD31D1068C43</x:v>
      </x:c>
      <x:c r="B64" s="59" t="str">
        <x:v>pcs</x:v>
      </x:c>
      <x:c r="C64" s="59" t="str">
        <x:v>pcs</x:v>
      </x:c>
      <x:c r="D64" s="59" t="str">
        <x:v>ENGLISH_TERM</x:v>
      </x:c>
      <x:c r="E64" s="59" t="str">
        <x:v>LATIN_IDENTITY_REQUIRED</x:v>
      </x:c>
      <x:c r="F64" s="59" t="str">
        <x:v>OPTIONAL</x:v>
      </x:c>
      <x:c r="G64" s="59" t="str">
        <x:v>HIGH</x:v>
      </x:c>
      <x:c r="H64" s="59" t="str">
        <x:v>English but can also come in connection with other words in Romanized english</x:v>
      </x:c>
    </x:row>
    <x:row r="65">
      <x:c r="A65" s="59" t="str">
        <x:v>R3A-C79C78C6A996</x:v>
      </x:c>
      <x:c r="B65" s="59" t="str">
        <x:v>lai</x:v>
      </x:c>
      <x:c r="C65" s="59" t="str">
        <x:v>lai</x:v>
      </x:c>
      <x:c r="D65" s="59" t="str">
        <x:v>ROMANIZED_NEPALI</x:v>
      </x:c>
      <x:c r="E65" s="59" t="str">
        <x:v>DEVANAGARI_TARGET_REQUIRED</x:v>
      </x:c>
      <x:c r="F65" s="59" t="str">
        <x:v>REQUIRED</x:v>
      </x:c>
      <x:c r="G65" s="59" t="str">
        <x:v>HIGH</x:v>
      </x:c>
      <x:c r="H65" s="59" t="str">
        <x:v>Nepali term written in Romanized</x:v>
      </x:c>
    </x:row>
    <x:row r="66">
      <x:c r="A66" s="59" t="str">
        <x:v>R3A-F5CF1B72BF07</x:v>
      </x:c>
      <x:c r="B66" s="59" t="str">
        <x:v>blorp</x:v>
      </x:c>
      <x:c r="C66" s="59" t="str">
        <x:v>blorp</x:v>
      </x:c>
      <x:c r="D66" s="59" t="str">
        <x:v>INVALID_OR_UNCLEAR</x:v>
      </x:c>
      <x:c r="E66" s="59" t="str">
        <x:v>CANNOT_DECIDE</x:v>
      </x:c>
      <x:c r="F66" s="59" t="str">
        <x:v>CANNOT_DECIDE</x:v>
      </x:c>
      <x:c r="G66" s="59" t="str">
        <x:v>MEDIUM</x:v>
      </x:c>
      <x:c r="H66" s="59" t="str">
        <x:v>I do not know whether it is in english or nepali, which language is it, in any context it may have any meaning</x:v>
      </x:c>
    </x:row>
    <x:row r="67">
      <x:c r="A67" s="59" t="str">
        <x:v>R3A-0179AF09253F</x:v>
      </x:c>
      <x:c r="B67" s="59" t="str">
        <x:v>qwerty</x:v>
      </x:c>
      <x:c r="C67" s="59" t="str">
        <x:v>qwerty</x:v>
      </x:c>
      <x:c r="D67" s="59" t="str">
        <x:v>INVALID_OR_UNCLEAR</x:v>
      </x:c>
      <x:c r="E67" s="59" t="str">
        <x:v>CANNOT_DECIDE</x:v>
      </x:c>
      <x:c r="F67" s="59" t="str">
        <x:v>CANNOT_DECIDE</x:v>
      </x:c>
      <x:c r="G67" s="59" t="str">
        <x:v>MEDIUM</x:v>
      </x:c>
      <x:c r="H67" s="59" t="str">
        <x:v>I do not know whether it is in english or nepali, which language is it, in any context it may have any meaning</x:v>
      </x:c>
    </x:row>
    <x:row r="68">
      <x:c r="A68" s="59" t="str">
        <x:v>R3A-35D8AB1646F4</x:v>
      </x:c>
      <x:c r="B68" s="59" t="str">
        <x:v>cash</x:v>
      </x:c>
      <x:c r="C68" s="59" t="str">
        <x:v>cash</x:v>
      </x:c>
      <x:c r="D68" s="59" t="str">
        <x:v>ENGLISH_TERM</x:v>
      </x:c>
      <x:c r="E68" s="59" t="str">
        <x:v>LATIN_IDENTITY_REQUIRED</x:v>
      </x:c>
      <x:c r="F68" s="59" t="str">
        <x:v>OPTIONAL</x:v>
      </x:c>
      <x:c r="G68" s="59" t="str">
        <x:v>HIGH</x:v>
      </x:c>
      <x:c r="H68" s="59" t="str">
        <x:v>English but can also come in connection with other words in Romanized english</x:v>
      </x:c>
    </x:row>
    <x:row r="69">
      <x:c r="A69" s="59" t="str">
        <x:v>R3A-9F9619436CA3</x:v>
      </x:c>
      <x:c r="B69" s="59" t="str">
        <x:v>credit</x:v>
      </x:c>
      <x:c r="C69" s="59" t="str">
        <x:v>credit</x:v>
      </x:c>
      <x:c r="D69" s="59" t="str">
        <x:v>ENGLISH_TERM</x:v>
      </x:c>
      <x:c r="E69" s="59" t="str">
        <x:v>LATIN_IDENTITY_REQUIRED</x:v>
      </x:c>
      <x:c r="F69" s="59" t="str">
        <x:v>OPTIONAL</x:v>
      </x:c>
      <x:c r="G69" s="59" t="str">
        <x:v>HIGH</x:v>
      </x:c>
      <x:c r="H69" s="59" t="str">
        <x:v>English but can also come in connection with other words in Romanized english</x:v>
      </x:c>
    </x:row>
    <x:row r="70">
      <x:c r="A70" s="59" t="str">
        <x:v>R3A-6A1AF337B21B</x:v>
      </x:c>
      <x:c r="B70" s="59" t="str">
        <x:v>opening</x:v>
      </x:c>
      <x:c r="C70" s="59" t="str">
        <x:v>opening</x:v>
      </x:c>
      <x:c r="D70" s="59" t="str">
        <x:v>ENGLISH_TERM</x:v>
      </x:c>
      <x:c r="E70" s="59" t="str">
        <x:v>LATIN_IDENTITY_REQUIRED</x:v>
      </x:c>
      <x:c r="F70" s="59" t="str">
        <x:v>OPTIONAL</x:v>
      </x:c>
      <x:c r="G70" s="59" t="str">
        <x:v>HIGH</x:v>
      </x:c>
      <x:c r="H70" s="59" t="str">
        <x:v>English but can also come in connection with other words in Romanized english</x:v>
      </x:c>
    </x:row>
    <x:row r="71">
      <x:c r="A71" s="59" t="str">
        <x:v>R3A-1788E7D5D0A1</x:v>
      </x:c>
      <x:c r="B71" s="59" t="str">
        <x:v>report</x:v>
      </x:c>
      <x:c r="C71" s="59" t="str">
        <x:v>report</x:v>
      </x:c>
      <x:c r="D71" s="59" t="str">
        <x:v>ENGLISH_TERM</x:v>
      </x:c>
      <x:c r="E71" s="59" t="str">
        <x:v>LATIN_IDENTITY_REQUIRED</x:v>
      </x:c>
      <x:c r="F71" s="59" t="str">
        <x:v>OPTIONAL</x:v>
      </x:c>
      <x:c r="G71" s="59" t="str">
        <x:v>HIGH</x:v>
      </x:c>
      <x:c r="H71" s="59" t="str">
        <x:v>English but can also come in connection with other words in Romanized english</x:v>
      </x:c>
    </x:row>
    <x:row r="72">
      <x:c r="A72" s="59" t="str">
        <x:v>R3A-4F0FB37A553F</x:v>
      </x:c>
      <x:c r="B72" s="59" t="str">
        <x:v>rakhnu</x:v>
      </x:c>
      <x:c r="C72" s="59" t="str">
        <x:v>rakhnu</x:v>
      </x:c>
      <x:c r="D72" s="59" t="str">
        <x:v>ROMANIZED_NEPALI</x:v>
      </x:c>
      <x:c r="E72" s="59" t="str">
        <x:v>DEVANAGARI_TARGET_REQUIRED</x:v>
      </x:c>
      <x:c r="F72" s="59" t="str">
        <x:v>REQUIRED</x:v>
      </x:c>
      <x:c r="G72" s="59" t="str">
        <x:v>HIGH</x:v>
      </x:c>
      <x:c r="H72" s="59" t="str">
        <x:v>Nepali term written in Romanized</x:v>
      </x:c>
    </x:row>
    <x:row r="73">
      <x:c r="A73" s="59" t="str">
        <x:v>R3A-910CA16A8201</x:v>
      </x:c>
      <x:c r="B73" s="59" t="str">
        <x:v>voucher</x:v>
      </x:c>
      <x:c r="C73" s="59" t="str">
        <x:v>voucher</x:v>
      </x:c>
      <x:c r="D73" s="59" t="str">
        <x:v>ENGLISH_TERM</x:v>
      </x:c>
      <x:c r="E73" s="59" t="str">
        <x:v>LATIN_IDENTITY_REQUIRED</x:v>
      </x:c>
      <x:c r="F73" s="59" t="str">
        <x:v>OPTIONAL</x:v>
      </x:c>
      <x:c r="G73" s="59" t="str">
        <x:v>HIGH</x:v>
      </x:c>
      <x:c r="H73" s="59" t="str">
        <x:v>English but can also come in connection with other words in Romanized english</x:v>
      </x:c>
    </x:row>
    <x:row r="74">
      <x:c r="A74" s="59" t="str">
        <x:v>R3A-BB51DD6E9ED0</x:v>
      </x:c>
      <x:c r="B74" s="59" t="str">
        <x:v>susan</x:v>
      </x:c>
      <x:c r="C74" s="59" t="str">
        <x:v>susan</x:v>
      </x:c>
      <x:c r="D74" s="59" t="str">
        <x:v>ROMANIZED_NEPALI</x:v>
      </x:c>
      <x:c r="E74" s="59" t="str">
        <x:v>DEVANAGARI_TARGET_REQUIRED</x:v>
      </x:c>
      <x:c r="F74" s="59" t="str">
        <x:v>REQUIRED</x:v>
      </x:c>
      <x:c r="G74" s="59" t="str">
        <x:v>HIGH</x:v>
      </x:c>
      <x:c r="H74" s="59" t="str">
        <x:v>In nepali context it refeerse to name of a Lady or Jeants as well</x:v>
      </x:c>
    </x:row>
    <x:row r="75">
      <x:c r="A75" s="59" t="str">
        <x:v>R3A-DB48C68438C8</x:v>
      </x:c>
      <x:c r="B75" s="59" t="str">
        <x:v>shyam</x:v>
      </x:c>
      <x:c r="C75" s="59" t="str">
        <x:v>shyam</x:v>
      </x:c>
      <x:c r="D75" s="59" t="str">
        <x:v>ROMANIZED_NEPALI</x:v>
      </x:c>
      <x:c r="E75" s="59" t="str">
        <x:v>DEVANAGARI_TARGET_REQUIRED</x:v>
      </x:c>
      <x:c r="F75" s="59" t="str">
        <x:v>REQUIRED</x:v>
      </x:c>
      <x:c r="G75" s="59" t="str">
        <x:v>HIGH</x:v>
      </x:c>
      <x:c r="H75" s="59" t="str">
        <x:v>In nepali context it refeerse to name of a male</x:v>
      </x:c>
    </x:row>
    <x:row r="76">
      <x:c r="A76" s="59" t="str">
        <x:v>R3A-E466FA9B2BF3</x:v>
      </x:c>
      <x:c r="B76" s="59" t="str">
        <x:v>gross</x:v>
      </x:c>
      <x:c r="C76" s="59" t="str">
        <x:v>gross</x:v>
      </x:c>
      <x:c r="D76" s="59" t="str">
        <x:v>ENGLISH_TERM</x:v>
      </x:c>
      <x:c r="E76" s="59" t="str">
        <x:v>LATIN_IDENTITY_REQUIRED</x:v>
      </x:c>
      <x:c r="F76" s="59" t="str">
        <x:v>OPTIONAL</x:v>
      </x:c>
      <x:c r="G76" s="59" t="str">
        <x:v>HIGH</x:v>
      </x:c>
      <x:c r="H76" s="59" t="str">
        <x:v>English but can also come in connection with other words in Romanized english</x:v>
      </x:c>
    </x:row>
    <x:row r="77">
      <x:c r="A77" s="59" t="str">
        <x:v>R3A-66F68104288C</x:v>
      </x:c>
      <x:c r="B77" s="59" t="str">
        <x:v>xyzzy</x:v>
      </x:c>
      <x:c r="C77" s="59" t="str">
        <x:v>xyzzy</x:v>
      </x:c>
      <x:c r="D77" s="59" t="str">
        <x:v>INVALID_OR_UNCLEAR</x:v>
      </x:c>
      <x:c r="E77" s="59" t="str">
        <x:v>CANNOT_DECIDE</x:v>
      </x:c>
      <x:c r="F77" s="59" t="str">
        <x:v>CANNOT_DECIDE</x:v>
      </x:c>
      <x:c r="G77" s="59" t="str">
        <x:v>MEDIUM</x:v>
      </x:c>
      <x:c r="H77" s="59" t="str">
        <x:v>I do not know whether it is in english or nepali, which language is it, in any context it may have any meaning</x:v>
      </x:c>
    </x:row>
    <x:row r="78">
      <x:c r="A78" s="59" t="str">
        <x:v>R3A-229898769D5B</x:v>
      </x:c>
      <x:c r="B78" s="59" t="str">
        <x:v>customer</x:v>
      </x:c>
      <x:c r="C78" s="59" t="str">
        <x:v>customer</x:v>
      </x:c>
      <x:c r="D78" s="59" t="str">
        <x:v>ENGLISH_TERM</x:v>
      </x:c>
      <x:c r="E78" s="59" t="str">
        <x:v>LATIN_IDENTITY_REQUIRED</x:v>
      </x:c>
      <x:c r="F78" s="59" t="str">
        <x:v>OPTIONAL</x:v>
      </x:c>
      <x:c r="G78" s="59" t="str">
        <x:v>HIGH</x:v>
      </x:c>
      <x:c r="H78" s="59" t="str">
        <x:v>English but can also come in connection with other words in Romanized english</x:v>
      </x:c>
    </x:row>
    <x:row r="79">
      <x:c r="A79" s="59" t="str">
        <x:v>R3A-710A7D0167DC</x:v>
      </x:c>
      <x:c r="B79" s="59" t="str">
        <x:v>dokaan</x:v>
      </x:c>
      <x:c r="C79" s="59" t="str">
        <x:v>dokaan</x:v>
      </x:c>
      <x:c r="D79" s="59" t="str">
        <x:v>ROMANIZED_NEPALI</x:v>
      </x:c>
      <x:c r="E79" s="59" t="str">
        <x:v>DEVANAGARI_TARGET_REQUIRED</x:v>
      </x:c>
      <x:c r="F79" s="59" t="str">
        <x:v>REQUIRED</x:v>
      </x:c>
      <x:c r="G79" s="59" t="str">
        <x:v>HIGH</x:v>
      </x:c>
      <x:c r="H79" s="59" t="str">
        <x:v>Nepali term written in Romanized</x:v>
      </x:c>
    </x:row>
    <x:row r="80">
      <x:c r="A80" s="59" t="str">
        <x:v>R3A-1955993A8F69</x:v>
      </x:c>
      <x:c r="B80" s="59" t="str">
        <x:v>malai</x:v>
      </x:c>
      <x:c r="C80" s="59" t="str">
        <x:v>malai</x:v>
      </x:c>
      <x:c r="D80" s="59" t="str">
        <x:v>ROMANIZED_NEPALI</x:v>
      </x:c>
      <x:c r="E80" s="59" t="str">
        <x:v>DEVANAGARI_TARGET_REQUIRED</x:v>
      </x:c>
      <x:c r="F80" s="59" t="str">
        <x:v>REQUIRED</x:v>
      </x:c>
      <x:c r="G80" s="59" t="str">
        <x:v>HIGH</x:v>
      </x:c>
      <x:c r="H80" s="59" t="str">
        <x:v>Nepali term written in Romanized</x:v>
      </x:c>
    </x:row>
    <x:row r="81">
      <x:c r="A81" s="59" t="str">
        <x:v>R3A-81797ACEEE9A</x:v>
      </x:c>
      <x:c r="B81" s="59" t="str">
        <x:v>due</x:v>
      </x:c>
      <x:c r="C81" s="59" t="str">
        <x:v>due</x:v>
      </x:c>
      <x:c r="D81" s="59" t="str">
        <x:v>ENGLISH_TERM</x:v>
      </x:c>
      <x:c r="E81" s="59" t="str">
        <x:v>LATIN_IDENTITY_REQUIRED</x:v>
      </x:c>
      <x:c r="F81" s="59" t="str">
        <x:v>OPTIONAL</x:v>
      </x:c>
      <x:c r="G81" s="59" t="str">
        <x:v>HIGH</x:v>
      </x:c>
      <x:c r="H81" s="59" t="str">
        <x:v>English but can also come in connection with other words in Romanized english</x:v>
      </x:c>
    </x:row>
    <x:row r="82">
      <x:c r="A82" s="59" t="str">
        <x:v>R3A-81D90B95625F</x:v>
      </x:c>
      <x:c r="B82" s="59" t="str">
        <x:v>bill</x:v>
      </x:c>
      <x:c r="C82" s="59" t="str">
        <x:v>bill</x:v>
      </x:c>
      <x:c r="D82" s="59" t="str">
        <x:v>ENGLISH_TERM</x:v>
      </x:c>
      <x:c r="E82" s="59" t="str">
        <x:v>LATIN_IDENTITY_REQUIRED</x:v>
      </x:c>
      <x:c r="F82" s="59" t="str">
        <x:v>OPTIONAL</x:v>
      </x:c>
      <x:c r="G82" s="59" t="str">
        <x:v>HIGH</x:v>
      </x:c>
      <x:c r="H82" s="59" t="str">
        <x:v>English but can also come in connection with other words in Romanized english</x:v>
      </x:c>
    </x:row>
    <x:row r="83">
      <x:c r="A83" s="59" t="str">
        <x:v>R3A-A22962BC478A</x:v>
      </x:c>
      <x:c r="B83" s="59" t="str">
        <x:v>ram dai aayo</x:v>
      </x:c>
      <x:c r="C83" s="59" t="str">
        <x:v>ram</x:v>
      </x:c>
      <x:c r="D83" s="59" t="str">
        <x:v>ROMANIZED_NEPALI</x:v>
      </x:c>
      <x:c r="E83" s="59" t="str">
        <x:v>DEVANAGARI_TARGET_REQUIRED</x:v>
      </x:c>
      <x:c r="F83" s="59" t="str">
        <x:v>REQUIRED</x:v>
      </x:c>
      <x:c r="G83" s="59" t="str">
        <x:v>HIGH</x:v>
      </x:c>
      <x:c r="H83" s="59" t="str">
        <x:v>In nepali context it refeerse to name of a male</x:v>
      </x:c>
    </x:row>
    <x:row r="84">
      <x:c r="A84" s="59" t="str">
        <x:v>R3A-F4643880A9BC</x:v>
      </x:c>
      <x:c r="B84" s="59" t="str">
        <x:v>bank</x:v>
      </x:c>
      <x:c r="C84" s="59" t="str">
        <x:v>bank</x:v>
      </x:c>
      <x:c r="D84" s="59" t="str">
        <x:v>ENGLISH_TERM</x:v>
      </x:c>
      <x:c r="E84" s="59" t="str">
        <x:v>LATIN_IDENTITY_REQUIRED</x:v>
      </x:c>
      <x:c r="F84" s="59" t="str">
        <x:v>OPTIONAL</x:v>
      </x:c>
      <x:c r="G84" s="59" t="str">
        <x:v>HIGH</x:v>
      </x:c>
      <x:c r="H84" s="59" t="str">
        <x:v>English but can also come in connection with other words in Romanized english</x:v>
      </x:c>
    </x:row>
    <x:row r="85">
      <x:c r="A85" s="59" t="str">
        <x:v>R3A-DBE3D2111C87</x:v>
      </x:c>
      <x:c r="B85" s="59" t="str">
        <x:v>customer</x:v>
      </x:c>
      <x:c r="C85" s="59" t="str">
        <x:v>customer</x:v>
      </x:c>
      <x:c r="D85" s="59" t="str">
        <x:v>ENGLISH_TERM</x:v>
      </x:c>
      <x:c r="E85" s="59" t="str">
        <x:v>LATIN_IDENTITY_REQUIRED</x:v>
      </x:c>
      <x:c r="F85" s="59" t="str">
        <x:v>OPTIONAL</x:v>
      </x:c>
      <x:c r="G85" s="59" t="str">
        <x:v>HIGH</x:v>
      </x:c>
      <x:c r="H85" s="59" t="str">
        <x:v>English but can also come in connection with other words in Romanized english</x:v>
      </x:c>
    </x:row>
    <x:row r="86">
      <x:c r="A86" s="59" t="str">
        <x:v>R3A-49A02088DC63</x:v>
      </x:c>
      <x:c r="B86" s="59" t="str">
        <x:v>pokhara</x:v>
      </x:c>
      <x:c r="C86" s="59" t="str">
        <x:v>pokhara</x:v>
      </x:c>
      <x:c r="D86" s="59" t="str">
        <x:v>ROMANIZED_NEPALI</x:v>
      </x:c>
      <x:c r="E86" s="59" t="str">
        <x:v>DEVANAGARI_TARGET_REQUIRED</x:v>
      </x:c>
      <x:c r="F86" s="59" t="str">
        <x:v>REQUIRED</x:v>
      </x:c>
      <x:c r="G86" s="59" t="str">
        <x:v>HIGH</x:v>
      </x:c>
      <x:c r="H86" s="59" t="str">
        <x:v>it is a place of nepal</x:v>
      </x:c>
    </x:row>
    <x:row r="87">
      <x:c r="A87" s="59" t="str">
        <x:v>R3A-6001D63FAD3E</x:v>
      </x:c>
      <x:c r="B87" s="59" t="str">
        <x:v>sita</x:v>
      </x:c>
      <x:c r="C87" s="59" t="str">
        <x:v>sita</x:v>
      </x:c>
      <x:c r="D87" s="59" t="str">
        <x:v>ROMANIZED_NEPALI</x:v>
      </x:c>
      <x:c r="E87" s="59" t="str">
        <x:v>DEVANAGARI_TARGET_REQUIRED</x:v>
      </x:c>
      <x:c r="F87" s="59" t="str">
        <x:v>REQUIRED</x:v>
      </x:c>
      <x:c r="G87" s="59" t="str">
        <x:v>HIGH</x:v>
      </x:c>
      <x:c r="H87" s="59" t="str">
        <x:v>In nepali context it refeerse to name of a Lady</x:v>
      </x:c>
    </x:row>
    <x:row r="88">
      <x:c r="A88" s="59" t="str">
        <x:v>R3A-309B3CEE3117</x:v>
      </x:c>
      <x:c r="B88" s="59" t="str">
        <x:v>qwerty</x:v>
      </x:c>
      <x:c r="C88" s="59" t="str">
        <x:v>qwerty</x:v>
      </x:c>
      <x:c r="D88" s="59" t="str">
        <x:v>INVALID_OR_UNCLEAR</x:v>
      </x:c>
      <x:c r="E88" s="59" t="str">
        <x:v>CANNOT_DECIDE</x:v>
      </x:c>
      <x:c r="F88" s="59" t="str">
        <x:v>CANNOT_DECIDE</x:v>
      </x:c>
      <x:c r="G88" s="59" t="str">
        <x:v>HIGH</x:v>
      </x:c>
      <x:c r="H88" s="59" t="str">
        <x:v>I do not know it</x:v>
      </x:c>
    </x:row>
    <x:row r="89">
      <x:c r="A89" s="59" t="str">
        <x:v>R3A-3D44EBBA4A60</x:v>
      </x:c>
      <x:c r="B89" s="59" t="str">
        <x:v>tijori</x:v>
      </x:c>
      <x:c r="C89" s="59" t="str">
        <x:v>tijori</x:v>
      </x:c>
      <x:c r="D89" s="59" t="str">
        <x:v>ROMANIZED_NEPALI</x:v>
      </x:c>
      <x:c r="E89" s="59" t="str">
        <x:v>DEVANAGARI_TARGET_REQUIRED</x:v>
      </x:c>
      <x:c r="F89" s="59" t="str">
        <x:v>REQUIRED</x:v>
      </x:c>
      <x:c r="G89" s="59" t="str">
        <x:v>HIGH</x:v>
      </x:c>
      <x:c r="H89" s="59" t="str">
        <x:v>it means vault</x:v>
      </x:c>
    </x:row>
    <x:row r="90">
      <x:c r="A90" s="59" t="str">
        <x:v>R3A-19AF235F1D07</x:v>
      </x:c>
      <x:c r="B90" s="59" t="str">
        <x:v>xaina</x:v>
      </x:c>
      <x:c r="C90" s="59" t="str">
        <x:v>xaina</x:v>
      </x:c>
      <x:c r="D90" s="59" t="str">
        <x:v>ROMANIZED_NEPALI</x:v>
      </x:c>
      <x:c r="E90" s="59" t="str">
        <x:v>DEVANAGARI_TARGET_REQUIRED</x:v>
      </x:c>
      <x:c r="F90" s="59" t="str">
        <x:v>REQUIRED</x:v>
      </x:c>
      <x:c r="G90" s="59" t="str">
        <x:v>HIGH</x:v>
      </x:c>
      <x:c r="H90" s="59" t="str">
        <x:v>for example I do not have keys, ma sanga chabi xaina</x:v>
      </x:c>
    </x:row>
    <x:row r="91">
      <x:c r="A91" s="59" t="str">
        <x:v>R3A-48A9DED65168</x:v>
      </x:c>
      <x:c r="B91" s="59" t="str">
        <x:v>anita</x:v>
      </x:c>
      <x:c r="C91" s="59" t="str">
        <x:v>anita</x:v>
      </x:c>
      <x:c r="D91" s="59" t="str">
        <x:v>ROMANIZED_NEPALI</x:v>
      </x:c>
      <x:c r="E91" s="59" t="str">
        <x:v>DEVANAGARI_TARGET_REQUIRED</x:v>
      </x:c>
      <x:c r="F91" s="59" t="str">
        <x:v>REQUIRED</x:v>
      </x:c>
      <x:c r="G91" s="59" t="str">
        <x:v>HIGH</x:v>
      </x:c>
      <x:c r="H91" s="59" t="str">
        <x:v>In nepali context it refeerse to name of a female</x:v>
      </x:c>
    </x:row>
    <x:row r="92">
      <x:c r="A92" s="59" t="str">
        <x:v>R3A-46B32A27444A</x:v>
      </x:c>
      <x:c r="B92" s="59" t="str">
        <x:v>profit</x:v>
      </x:c>
      <x:c r="C92" s="59" t="str">
        <x:v>profit</x:v>
      </x:c>
      <x:c r="D92" s="59" t="str">
        <x:v>ENGLISH_TERM</x:v>
      </x:c>
      <x:c r="E92" s="59" t="str">
        <x:v>LATIN_IDENTITY_REQUIRED</x:v>
      </x:c>
      <x:c r="F92" s="59" t="str">
        <x:v>OPTIONAL</x:v>
      </x:c>
      <x:c r="G92" s="59" t="str">
        <x:v>HIGH</x:v>
      </x:c>
      <x:c r="H92" s="59" t="str">
        <x:v>English but can also come in connection with other words in Romanized english</x:v>
      </x:c>
    </x:row>
    <x:row r="93">
      <x:c r="A93" s="59" t="str">
        <x:v>R3A-A2E3A7DCE3D0</x:v>
      </x:c>
      <x:c r="B93" s="59" t="str">
        <x:v>rajeev</x:v>
      </x:c>
      <x:c r="C93" s="59" t="str">
        <x:v>rajeev</x:v>
      </x:c>
      <x:c r="D93" s="59" t="str">
        <x:v>ROMANIZED_NEPALI</x:v>
      </x:c>
      <x:c r="E93" s="59" t="str">
        <x:v>DEVANAGARI_TARGET_REQUIRED</x:v>
      </x:c>
      <x:c r="F93" s="59" t="str">
        <x:v>REQUIRED</x:v>
      </x:c>
      <x:c r="G93" s="59" t="str">
        <x:v>HIGH</x:v>
      </x:c>
      <x:c r="H93" s="59" t="str">
        <x:v>In nepali context it refeerse to name of a male</x:v>
      </x:c>
    </x:row>
    <x:row r="94">
      <x:c r="A94" s="59" t="str">
        <x:v>R3A-DEBF4EE37F6D</x:v>
      </x:c>
      <x:c r="B94" s="59" t="str">
        <x:v>today</x:v>
      </x:c>
      <x:c r="C94" s="59" t="str">
        <x:v>today</x:v>
      </x:c>
      <x:c r="D94" s="59" t="str">
        <x:v>ENGLISH_TERM</x:v>
      </x:c>
      <x:c r="E94" s="59" t="str">
        <x:v>LATIN_IDENTITY_REQUIRED</x:v>
      </x:c>
      <x:c r="F94" s="59" t="str">
        <x:v>OPTIONAL</x:v>
      </x:c>
      <x:c r="G94" s="59" t="str">
        <x:v>HIGH</x:v>
      </x:c>
      <x:c r="H94" s="59" t="str">
        <x:v>English but can also come in connection with other words in Romanized english</x:v>
      </x:c>
    </x:row>
    <x:row r="95">
      <x:c r="A95" s="59" t="str">
        <x:v>R3A-46CD1830FE9D</x:v>
      </x:c>
      <x:c r="B95" s="59" t="str">
        <x:v>closing</x:v>
      </x:c>
      <x:c r="C95" s="59" t="str">
        <x:v>closing</x:v>
      </x:c>
      <x:c r="D95" s="59" t="str">
        <x:v>ENGLISH_TERM</x:v>
      </x:c>
      <x:c r="E95" s="59" t="str">
        <x:v>LATIN_IDENTITY_REQUIRED</x:v>
      </x:c>
      <x:c r="F95" s="59" t="str">
        <x:v>OPTIONAL</x:v>
      </x:c>
      <x:c r="G95" s="59" t="str">
        <x:v>HIGH</x:v>
      </x:c>
      <x:c r="H95" s="59" t="str">
        <x:v>English but can also come in connection with other words in Romanized english</x:v>
      </x:c>
    </x:row>
    <x:row r="96">
      <x:c r="A96" s="59" t="str">
        <x:v>R3A-03590AA81D78</x:v>
      </x:c>
      <x:c r="B96" s="59" t="str">
        <x:v>closing</x:v>
      </x:c>
      <x:c r="C96" s="59" t="str">
        <x:v>closing</x:v>
      </x:c>
      <x:c r="D96" s="59" t="str">
        <x:v>ENGLISH_TERM</x:v>
      </x:c>
      <x:c r="E96" s="59" t="str">
        <x:v>LATIN_IDENTITY_REQUIRED</x:v>
      </x:c>
      <x:c r="F96" s="59" t="str">
        <x:v>OPTIONAL</x:v>
      </x:c>
      <x:c r="G96" s="59" t="str">
        <x:v>HIGH</x:v>
      </x:c>
      <x:c r="H96" s="59" t="str">
        <x:v>English but can also come in connection with other words in Romanized english</x:v>
      </x:c>
    </x:row>
    <x:row r="97">
      <x:c r="A97" s="59" t="str">
        <x:v>R3A-44D26D6634B0</x:v>
      </x:c>
      <x:c r="B97" s="59" t="str">
        <x:v>sales</x:v>
      </x:c>
      <x:c r="C97" s="59" t="str">
        <x:v>sales</x:v>
      </x:c>
      <x:c r="D97" s="59" t="str">
        <x:v>ENGLISH_TERM</x:v>
      </x:c>
      <x:c r="E97" s="59" t="str">
        <x:v>LATIN_IDENTITY_REQUIRED</x:v>
      </x:c>
      <x:c r="F97" s="59" t="str">
        <x:v>OPTIONAL</x:v>
      </x:c>
      <x:c r="G97" s="59" t="str">
        <x:v>HIGH</x:v>
      </x:c>
      <x:c r="H97" s="59" t="str">
        <x:v>English but can also come in connection with other words in Romanized english</x:v>
      </x:c>
    </x:row>
    <x:row r="98">
      <x:c r="A98" s="59" t="str">
        <x:v>R3A-E6C27DD9EB4E</x:v>
      </x:c>
      <x:c r="B98" s="59" t="str">
        <x:v>krishna</x:v>
      </x:c>
      <x:c r="C98" s="59" t="str">
        <x:v>krishna</x:v>
      </x:c>
      <x:c r="D98" s="59" t="str">
        <x:v>ROMANIZED_NEPALI</x:v>
      </x:c>
      <x:c r="E98" s="59" t="str">
        <x:v>DEVANAGARI_TARGET_REQUIRED</x:v>
      </x:c>
      <x:c r="F98" s="59" t="str">
        <x:v>REQUIRED</x:v>
      </x:c>
      <x:c r="G98" s="59" t="str">
        <x:v>HIGH</x:v>
      </x:c>
      <x:c r="H98" s="59" t="str">
        <x:v>In nepali context it refeerse to name of a male</x:v>
      </x:c>
    </x:row>
    <x:row r="99">
      <x:c r="A99" s="59" t="str">
        <x:v>R3A-89B7DB4A1A4A</x:v>
      </x:c>
      <x:c r="B99" s="59" t="str">
        <x:v>for</x:v>
      </x:c>
      <x:c r="C99" s="59" t="str">
        <x:v>for</x:v>
      </x:c>
      <x:c r="D99" s="59" t="str">
        <x:v>ENGLISH_TERM</x:v>
      </x:c>
      <x:c r="E99" s="59" t="str">
        <x:v>LATIN_IDENTITY_REQUIRED</x:v>
      </x:c>
      <x:c r="F99" s="59" t="str">
        <x:v>OPTIONAL</x:v>
      </x:c>
      <x:c r="G99" s="59" t="str">
        <x:v>HIGH</x:v>
      </x:c>
      <x:c r="H99" s="59" t="str">
        <x:v>English but can also come in connection with other words in Romanized english</x:v>
      </x:c>
    </x:row>
    <x:row r="100">
      <x:c r="A100" s="59" t="str">
        <x:v>R3A-52168F6474CC</x:v>
      </x:c>
      <x:c r="B100" s="59" t="str">
        <x:v>on</x:v>
      </x:c>
      <x:c r="C100" s="59" t="str">
        <x:v>on</x:v>
      </x:c>
      <x:c r="D100" s="59" t="str">
        <x:v>ENGLISH_TERM</x:v>
      </x:c>
      <x:c r="E100" s="59" t="str">
        <x:v>LATIN_IDENTITY_REQUIRED</x:v>
      </x:c>
      <x:c r="F100" s="59" t="str">
        <x:v>OPTIONAL</x:v>
      </x:c>
      <x:c r="G100" s="59" t="str">
        <x:v>HIGH</x:v>
      </x:c>
      <x:c r="H100" s="59" t="str">
        <x:v>English but can also come in connection with other words in Romanized english</x:v>
      </x:c>
    </x:row>
    <x:row r="101">
      <x:c r="A101" s="59" t="str">
        <x:v>R3A-5F4340339B0A</x:v>
      </x:c>
      <x:c r="B101" s="59" t="str">
        <x:v>preeti</x:v>
      </x:c>
      <x:c r="C101" s="59" t="str">
        <x:v>preeti</x:v>
      </x:c>
      <x:c r="D101" s="59" t="str">
        <x:v>ROMANIZED_NEPALI</x:v>
      </x:c>
      <x:c r="E101" s="59" t="str">
        <x:v>DEVANAGARI_TARGET_REQUIRED</x:v>
      </x:c>
      <x:c r="F101" s="59" t="str">
        <x:v>REQUIRED</x:v>
      </x:c>
      <x:c r="G101" s="59" t="str">
        <x:v>HIGH</x:v>
      </x:c>
      <x:c r="H101" s="59" t="str">
        <x:v>In nepali context it refeerse to name of a Lady</x:v>
      </x:c>
    </x:row>
    <x:row r="102">
      <x:c r="A102" s="59" t="str">
        <x:v>R3A-844DB568325C</x:v>
      </x:c>
      <x:c r="B102" s="59" t="str">
        <x:v>paani</x:v>
      </x:c>
      <x:c r="C102" s="59" t="str">
        <x:v>paani</x:v>
      </x:c>
      <x:c r="D102" s="59" t="str">
        <x:v>ROMANIZED_NEPALI</x:v>
      </x:c>
      <x:c r="E102" s="59" t="str">
        <x:v>DEVANAGARI_TARGET_REQUIRED</x:v>
      </x:c>
      <x:c r="F102" s="59" t="str">
        <x:v>REQUIRED</x:v>
      </x:c>
      <x:c r="G102" s="59" t="str">
        <x:v>HIGH</x:v>
      </x:c>
      <x:c r="H102" s="59" t="str">
        <x:v>it represents water for english language</x:v>
      </x:c>
    </x:row>
    <x:row r="103">
      <x:c r="A103" s="59" t="str">
        <x:v>R3A-61C16981C721</x:v>
      </x:c>
      <x:c r="B103" s="59" t="str">
        <x:v>thulo</x:v>
      </x:c>
      <x:c r="C103" s="59" t="str">
        <x:v>thulo</x:v>
      </x:c>
      <x:c r="D103" s="59" t="str">
        <x:v>ROMANIZED_NEPALI</x:v>
      </x:c>
      <x:c r="E103" s="59" t="str">
        <x:v>DEVANAGARI_TARGET_REQUIRED</x:v>
      </x:c>
      <x:c r="F103" s="59" t="str">
        <x:v>REQUIRED</x:v>
      </x:c>
      <x:c r="G103" s="59" t="str">
        <x:v>HIGH</x:v>
      </x:c>
      <x:c r="H103" s="59" t="str">
        <x:v>it represents something big, it means big</x:v>
      </x:c>
    </x:row>
    <x:row r="104">
      <x:c r="A104" s="59" t="str">
        <x:v>R3A-1FCB214AAFF8</x:v>
      </x:c>
      <x:c r="B104" s="59" t="str">
        <x:v>was</x:v>
      </x:c>
      <x:c r="C104" s="59" t="str">
        <x:v>was</x:v>
      </x:c>
      <x:c r="D104" s="59" t="str">
        <x:v>ENGLISH_TERM</x:v>
      </x:c>
      <x:c r="E104" s="59" t="str">
        <x:v>LATIN_IDENTITY_REQUIRED</x:v>
      </x:c>
      <x:c r="F104" s="59" t="str">
        <x:v>OPTIONAL</x:v>
      </x:c>
      <x:c r="G104" s="59" t="str">
        <x:v>HIGH</x:v>
      </x:c>
      <x:c r="H104" s="59" t="str">
        <x:v>English but can also come in connection with other words in Romanized english</x:v>
      </x:c>
    </x:row>
    <x:row r="105">
      <x:c r="A105" s="59" t="str">
        <x:v>R3A-9ED02F13AB81</x:v>
      </x:c>
      <x:c r="B105" s="59" t="str">
        <x:v>bank</x:v>
      </x:c>
      <x:c r="C105" s="59" t="str">
        <x:v>bank</x:v>
      </x:c>
      <x:c r="D105" s="59" t="str">
        <x:v>ENGLISH_TERM</x:v>
      </x:c>
      <x:c r="E105" s="59" t="str">
        <x:v>LATIN_IDENTITY_REQUIRED</x:v>
      </x:c>
      <x:c r="F105" s="59" t="str">
        <x:v>OPTIONAL</x:v>
      </x:c>
      <x:c r="G105" s="59" t="str">
        <x:v>HIGH</x:v>
      </x:c>
      <x:c r="H105" s="59" t="str">
        <x:v>English but can also come in connection with other words in Romanized english</x:v>
      </x:c>
    </x:row>
    <x:row r="106">
      <x:c r="A106" s="59" t="str">
        <x:v>R3A-B21EA865A670</x:v>
      </x:c>
      <x:c r="B106" s="59" t="str">
        <x:v>usko</x:v>
      </x:c>
      <x:c r="C106" s="59" t="str">
        <x:v>usko</x:v>
      </x:c>
      <x:c r="D106" s="59" t="str">
        <x:v>ROMANIZED_NEPALI</x:v>
      </x:c>
      <x:c r="E106" s="59" t="str">
        <x:v>DEVANAGARI_TARGET_REQUIRED</x:v>
      </x:c>
      <x:c r="F106" s="59" t="str">
        <x:v>REQUIRED</x:v>
      </x:c>
      <x:c r="G106" s="59" t="str">
        <x:v>HIGH</x:v>
      </x:c>
      <x:c r="H106" s="59" t="str">
        <x:v>Nepali term written in Romanized</x:v>
      </x:c>
    </x:row>
    <x:row r="107">
      <x:c r="A107" s="59" t="str">
        <x:v>R3A-2777FD563D44</x:v>
      </x:c>
      <x:c r="B107" s="59" t="str">
        <x:v>xyzzy</x:v>
      </x:c>
      <x:c r="C107" s="59" t="str">
        <x:v>xyzzy</x:v>
      </x:c>
      <x:c r="D107" s="59" t="str">
        <x:v>INVALID_OR_UNCLEAR</x:v>
      </x:c>
      <x:c r="E107" s="59" t="str">
        <x:v>CANNOT_DECIDE</x:v>
      </x:c>
      <x:c r="F107" s="59" t="str">
        <x:v>CANNOT_DECIDE</x:v>
      </x:c>
      <x:c r="G107" s="59" t="str">
        <x:v>MEDIUM</x:v>
      </x:c>
      <x:c r="H107" s="59" t="str">
        <x:v>I do not know whether it is in english or nepali, which language is it, in any context it may have any meaning</x:v>
      </x:c>
    </x:row>
    <x:row r="108">
      <x:c r="A108" s="59" t="str">
        <x:v>R3A-92AFC696170A</x:v>
      </x:c>
      <x:c r="B108" s="59" t="str">
        <x:v>gita</x:v>
      </x:c>
      <x:c r="C108" s="59" t="str">
        <x:v>gita</x:v>
      </x:c>
      <x:c r="D108" s="59" t="str">
        <x:v>ROMANIZED_NEPALI</x:v>
      </x:c>
      <x:c r="E108" s="59" t="str">
        <x:v>DEVANAGARI_TARGET_REQUIRED</x:v>
      </x:c>
      <x:c r="F108" s="59" t="str">
        <x:v>REQUIRED</x:v>
      </x:c>
      <x:c r="G108" s="59" t="str">
        <x:v>HIGH</x:v>
      </x:c>
      <x:c r="H108" s="59" t="str">
        <x:v>In nepali context it refeerse to name of a Lady</x:v>
      </x:c>
    </x:row>
    <x:row r="109">
      <x:c r="A109" s="59" t="str">
        <x:v>R3A-88C773037682</x:v>
      </x:c>
      <x:c r="B109" s="59" t="str">
        <x:v>chaina</x:v>
      </x:c>
      <x:c r="C109" s="59" t="str">
        <x:v>chaina</x:v>
      </x:c>
      <x:c r="D109" s="59" t="str">
        <x:v>PROPER_NAME_OR_ENTITY</x:v>
      </x:c>
      <x:c r="E109" s="59" t="str">
        <x:v>DEVANAGARI_TARGET_REQUIRED</x:v>
      </x:c>
      <x:c r="F109" s="59" t="str">
        <x:v>REQUIRED</x:v>
      </x:c>
      <x:c r="G109" s="59" t="str">
        <x:v>HIGH</x:v>
      </x:c>
      <x:c r="H109" s="59" t="str">
        <x:v>it is Name of a country</x:v>
      </x:c>
    </x:row>
    <x:row r="110">
      <x:c r="A110" s="59" t="str">
        <x:v>R3A-02AB46A9C72F</x:v>
      </x:c>
      <x:c r="B110" s="59" t="str">
        <x:v>stock</x:v>
      </x:c>
      <x:c r="C110" s="59" t="str">
        <x:v>stock</x:v>
      </x:c>
      <x:c r="D110" s="59" t="str">
        <x:v>ENGLISH_TERM</x:v>
      </x:c>
      <x:c r="E110" s="59" t="str">
        <x:v>LATIN_IDENTITY_REQUIRED</x:v>
      </x:c>
      <x:c r="F110" s="59" t="str">
        <x:v>OPTIONAL</x:v>
      </x:c>
      <x:c r="G110" s="59" t="str">
        <x:v>HIGH</x:v>
      </x:c>
      <x:c r="H110" s="59" t="str">
        <x:v>English but can also come in connection with other words in Romanized english</x:v>
      </x:c>
    </x:row>
    <x:row r="111">
      <x:c r="A111" s="59" t="str">
        <x:v>R3A-57E415379DE6</x:v>
      </x:c>
      <x:c r="B111" s="59" t="str">
        <x:v>purchase</x:v>
      </x:c>
      <x:c r="C111" s="59" t="str">
        <x:v>purchase</x:v>
      </x:c>
      <x:c r="D111" s="59" t="str">
        <x:v>ENGLISH_TERM</x:v>
      </x:c>
      <x:c r="E111" s="59" t="str">
        <x:v>LATIN_IDENTITY_REQUIRED</x:v>
      </x:c>
      <x:c r="F111" s="59" t="str">
        <x:v>OPTIONAL</x:v>
      </x:c>
      <x:c r="G111" s="59" t="str">
        <x:v>HIGH</x:v>
      </x:c>
      <x:c r="H111" s="59" t="str">
        <x:v>English but can also come in connection with other words in Romanized english</x:v>
      </x:c>
    </x:row>
    <x:row r="112">
      <x:c r="A112" s="59" t="str">
        <x:v>R3A-96D266DDD445</x:v>
      </x:c>
      <x:c r="B112" s="59" t="str">
        <x:v>in</x:v>
      </x:c>
      <x:c r="C112" s="59" t="str">
        <x:v>in</x:v>
      </x:c>
      <x:c r="D112" s="59" t="str">
        <x:v>ENGLISH_TERM</x:v>
      </x:c>
      <x:c r="E112" s="59" t="str">
        <x:v>LATIN_IDENTITY_REQUIRED</x:v>
      </x:c>
      <x:c r="F112" s="59" t="str">
        <x:v>OPTIONAL</x:v>
      </x:c>
      <x:c r="G112" s="59" t="str">
        <x:v>HIGH</x:v>
      </x:c>
      <x:c r="H112" s="59" t="str">
        <x:v>English but can also come in connection with other words in Romanized english</x:v>
      </x:c>
    </x:row>
    <x:row r="113">
      <x:c r="A113" s="59" t="str">
        <x:v>R3A-EB0C046F2CA3</x:v>
      </x:c>
      <x:c r="B113" s="59" t="str">
        <x:v>krishna</x:v>
      </x:c>
      <x:c r="C113" s="59" t="str">
        <x:v>krishna</x:v>
      </x:c>
      <x:c r="D113" s="59" t="str">
        <x:v>ROMANIZED_NEPALI</x:v>
      </x:c>
      <x:c r="E113" s="59" t="str">
        <x:v>DEVANAGARI_TARGET_REQUIRED</x:v>
      </x:c>
      <x:c r="F113" s="59" t="str">
        <x:v>REQUIRED</x:v>
      </x:c>
      <x:c r="G113" s="59" t="str">
        <x:v>HIGH</x:v>
      </x:c>
      <x:c r="H113" s="59" t="str">
        <x:v>In nepali context it refeerse to name of a male</x:v>
      </x:c>
    </x:row>
    <x:row r="114">
      <x:c r="A114" s="59" t="str">
        <x:v>R3A-C632964AAC91</x:v>
      </x:c>
      <x:c r="B114" s="59" t="str">
        <x:v>john</x:v>
      </x:c>
      <x:c r="C114" s="59" t="str">
        <x:v>john</x:v>
      </x:c>
      <x:c r="D114" s="59" t="str">
        <x:v>ROMANIZED_NEPALI</x:v>
      </x:c>
      <x:c r="E114" s="59" t="str">
        <x:v>DEVANAGARI_TARGET_REQUIRED</x:v>
      </x:c>
      <x:c r="F114" s="59" t="str">
        <x:v>REQUIRED</x:v>
      </x:c>
      <x:c r="G114" s="59" t="str">
        <x:v>HIGH</x:v>
      </x:c>
      <x:c r="H114" s="59" t="str">
        <x:v>In foreign country context it refeerse to name of a male</x:v>
      </x:c>
    </x:row>
    <x:row r="115">
      <x:c r="A115" s="59" t="str">
        <x:v>R3A-1B5DC8515B6B</x:v>
      </x:c>
      <x:c r="B115" s="59" t="str">
        <x:v>byapar</x:v>
      </x:c>
      <x:c r="C115" s="59" t="str">
        <x:v>byapar</x:v>
      </x:c>
      <x:c r="D115" s="59" t="str">
        <x:v>ROMANIZED_NEPALI</x:v>
      </x:c>
      <x:c r="E115" s="59" t="str">
        <x:v>DEVANAGARI_TARGET_REQUIRED</x:v>
      </x:c>
      <x:c r="F115" s="59" t="str">
        <x:v>REQUIRED</x:v>
      </x:c>
      <x:c r="G115" s="59" t="str">
        <x:v>HIGH</x:v>
      </x:c>
      <x:c r="H115" s="59" t="str">
        <x:v>Nepali term written in Romanized</x:v>
      </x:c>
    </x:row>
    <x:row r="116">
      <x:c r="A116" s="59" t="str">
        <x:v>R3A-3C51844C067F</x:v>
      </x:c>
      <x:c r="B116" s="59" t="str">
        <x:v>hajar</x:v>
      </x:c>
      <x:c r="C116" s="59" t="str">
        <x:v>hajar</x:v>
      </x:c>
      <x:c r="D116" s="59" t="str">
        <x:v>ROMANIZED_NEPALI</x:v>
      </x:c>
      <x:c r="E116" s="59" t="str">
        <x:v>DEVANAGARI_TARGET_REQUIRED</x:v>
      </x:c>
      <x:c r="F116" s="59" t="str">
        <x:v>REQUIRED</x:v>
      </x:c>
      <x:c r="G116" s="59" t="str">
        <x:v>HIGH</x:v>
      </x:c>
      <x:c r="H116" s="59" t="str">
        <x:v>Nepali term written in Romanized</x:v>
      </x:c>
    </x:row>
    <x:row r="117">
      <x:c r="A117" s="59" t="str">
        <x:v>R3A-8C4F698FCD49</x:v>
      </x:c>
      <x:c r="B117" s="59" t="str">
        <x:v>haru</x:v>
      </x:c>
      <x:c r="C117" s="59" t="str">
        <x:v>haru</x:v>
      </x:c>
      <x:c r="D117" s="59" t="str">
        <x:v>ROMANIZED_NEPALI</x:v>
      </x:c>
      <x:c r="E117" s="59" t="str">
        <x:v>DEVANAGARI_TARGET_REQUIRED</x:v>
      </x:c>
      <x:c r="F117" s="59" t="str">
        <x:v>REQUIRED</x:v>
      </x:c>
      <x:c r="G117" s="59" t="str">
        <x:v>HIGH</x:v>
      </x:c>
      <x:c r="H117" s="59" t="str">
        <x:v>Nepali term written in Romanized</x:v>
      </x:c>
    </x:row>
    <x:row r="118">
      <x:c r="A118" s="59" t="str">
        <x:v>R3A-AC9E3AA78D9B</x:v>
      </x:c>
      <x:c r="B118" s="59" t="str">
        <x:v>nepal</x:v>
      </x:c>
      <x:c r="C118" s="59" t="str">
        <x:v>nepal</x:v>
      </x:c>
      <x:c r="D118" s="59" t="str">
        <x:v>PROPER_NAME_OR_ENTITY</x:v>
      </x:c>
      <x:c r="E118" s="59" t="str">
        <x:v>DEVANAGARI_TARGET_REQUIRED</x:v>
      </x:c>
      <x:c r="F118" s="59" t="str">
        <x:v>REQUIRED</x:v>
      </x:c>
      <x:c r="G118" s="59" t="str">
        <x:v>HIGH</x:v>
      </x:c>
      <x:c r="H118" s="59" t="str">
        <x:v>it is Name of a country</x:v>
      </x:c>
    </x:row>
    <x:row r="119">
      <x:c r="A119" s="59" t="str">
        <x:v>R3A-7F4E9C760597</x:v>
      </x:c>
      <x:c r="B119" s="59" t="str">
        <x:v>usle</x:v>
      </x:c>
      <x:c r="C119" s="59" t="str">
        <x:v>usle</x:v>
      </x:c>
      <x:c r="D119" s="59" t="str">
        <x:v>ROMANIZED_NEPALI</x:v>
      </x:c>
      <x:c r="E119" s="59" t="str">
        <x:v>DEVANAGARI_TARGET_REQUIRED</x:v>
      </x:c>
      <x:c r="F119" s="59" t="str">
        <x:v>REQUIRED</x:v>
      </x:c>
      <x:c r="G119" s="59" t="str">
        <x:v>HIGH</x:v>
      </x:c>
      <x:c r="H119" s="59" t="str">
        <x:v>Nepali term written in Romanized</x:v>
      </x:c>
    </x:row>
    <x:row r="120">
      <x:c r="A120" s="59" t="str">
        <x:v>R3A-A3337AE882EF</x:v>
      </x:c>
      <x:c r="B120" s="59" t="str">
        <x:v>bikriyat</x:v>
      </x:c>
      <x:c r="C120" s="59" t="str">
        <x:v>bikriyat</x:v>
      </x:c>
      <x:c r="D120" s="59" t="str">
        <x:v>ROMANIZED_NEPALI</x:v>
      </x:c>
      <x:c r="E120" s="59" t="str">
        <x:v>DEVANAGARI_TARGET_REQUIRED</x:v>
      </x:c>
      <x:c r="F120" s="59" t="str">
        <x:v>REQUIRED</x:v>
      </x:c>
      <x:c r="G120" s="59" t="str">
        <x:v>HIGH</x:v>
      </x:c>
      <x:c r="H120" s="59" t="str">
        <x:v>Nepali term written in Romanized</x:v>
      </x:c>
    </x:row>
    <x:row r="121">
      <x:c r="A121" s="59" t="str">
        <x:v>R3A-473E29CACC82</x:v>
      </x:c>
      <x:c r="B121" s="59" t="str">
        <x:v>party</x:v>
      </x:c>
      <x:c r="C121" s="59" t="str">
        <x:v>party</x:v>
      </x:c>
      <x:c r="D121" s="59" t="str">
        <x:v>ENGLISH_TERM</x:v>
      </x:c>
      <x:c r="E121" s="59" t="str">
        <x:v>LATIN_IDENTITY_REQUIRED</x:v>
      </x:c>
      <x:c r="F121" s="59" t="str">
        <x:v>OPTIONAL</x:v>
      </x:c>
      <x:c r="G121" s="59" t="str">
        <x:v>HIGH</x:v>
      </x:c>
      <x:c r="H121" s="59" t="str">
        <x:v>English but can also come in connection with other words in Romanized english</x:v>
      </x:c>
    </x:row>
    <x:row r="122">
      <x:c r="A122" s="59" t="str">
        <x:v>R3A-CD170900DCD2</x:v>
      </x:c>
      <x:c r="B122" s="59" t="str">
        <x:v>my</x:v>
      </x:c>
      <x:c r="C122" s="59" t="str">
        <x:v>my</x:v>
      </x:c>
      <x:c r="D122" s="59" t="str">
        <x:v>ENGLISH_TERM</x:v>
      </x:c>
      <x:c r="E122" s="59" t="str">
        <x:v>LATIN_IDENTITY_REQUIRED</x:v>
      </x:c>
      <x:c r="F122" s="59" t="str">
        <x:v>OPTIONAL</x:v>
      </x:c>
      <x:c r="G122" s="59" t="str">
        <x:v>HIGH</x:v>
      </x:c>
      <x:c r="H122" s="59" t="str">
        <x:v>English but can also come in connection with other words in Romanized english</x:v>
      </x:c>
    </x:row>
    <x:row r="123">
      <x:c r="A123" s="59" t="str">
        <x:v>R3A-DDB46BE83E59</x:v>
      </x:c>
      <x:c r="B123" s="59" t="str">
        <x:v>aaja</x:v>
      </x:c>
      <x:c r="C123" s="59" t="str">
        <x:v>aaja</x:v>
      </x:c>
      <x:c r="D123" s="59" t="str">
        <x:v>ROMANIZED_NEPALI</x:v>
      </x:c>
      <x:c r="E123" s="59" t="str">
        <x:v>DEVANAGARI_TARGET_REQUIRED</x:v>
      </x:c>
      <x:c r="F123" s="59" t="str">
        <x:v>REQUIRED</x:v>
      </x:c>
      <x:c r="G123" s="59" t="str">
        <x:v>HIGH</x:v>
      </x:c>
      <x:c r="H123" s="59" t="str">
        <x:v>Nepali term written in Romanized</x:v>
      </x:c>
    </x:row>
    <x:row r="124">
      <x:c r="A124" s="59" t="str">
        <x:v>R3A-6E81B0F59A7C</x:v>
      </x:c>
      <x:c r="B124" s="59" t="str">
        <x:v>rupiya</x:v>
      </x:c>
      <x:c r="C124" s="59" t="str">
        <x:v>rupiya</x:v>
      </x:c>
      <x:c r="D124" s="59" t="str">
        <x:v>ROMANIZED_NEPALI</x:v>
      </x:c>
      <x:c r="E124" s="59" t="str">
        <x:v>DEVANAGARI_TARGET_REQUIRED</x:v>
      </x:c>
      <x:c r="F124" s="59" t="str">
        <x:v>REQUIRED</x:v>
      </x:c>
      <x:c r="G124" s="59" t="str">
        <x:v>HIGH</x:v>
      </x:c>
      <x:c r="H124" s="59" t="str">
        <x:v>Nepali term written in Romanized</x:v>
      </x:c>
    </x:row>
    <x:row r="125">
      <x:c r="A125" s="59" t="str">
        <x:v>R3A-E11303FC4AF9</x:v>
      </x:c>
      <x:c r="B125" s="59" t="str">
        <x:v>yes</x:v>
      </x:c>
      <x:c r="C125" s="59" t="str">
        <x:v>yes</x:v>
      </x:c>
      <x:c r="D125" s="59" t="str">
        <x:v>ENGLISH_TERM</x:v>
      </x:c>
      <x:c r="E125" s="59" t="str">
        <x:v>LATIN_IDENTITY_REQUIRED</x:v>
      </x:c>
      <x:c r="F125" s="59" t="str">
        <x:v>OPTIONAL</x:v>
      </x:c>
      <x:c r="G125" s="59" t="str">
        <x:v>HIGH</x:v>
      </x:c>
      <x:c r="H125" s="59" t="str">
        <x:v>English but can also come in connection with other words in Romanized english</x:v>
      </x:c>
    </x:row>
    <x:row r="126">
      <x:c r="A126" s="59" t="str">
        <x:v>R3A-A86B407317B4</x:v>
      </x:c>
      <x:c r="B126" s="59" t="str">
        <x:v>ram dai aayo</x:v>
      </x:c>
      <x:c r="C126" s="59" t="str">
        <x:v>ram</x:v>
      </x:c>
      <x:c r="D126" s="59" t="str">
        <x:v>ROMANIZED_NEPALI</x:v>
      </x:c>
      <x:c r="E126" s="59" t="str">
        <x:v>DEVANAGARI_TARGET_REQUIRED</x:v>
      </x:c>
      <x:c r="F126" s="59" t="str">
        <x:v>REQUIRED</x:v>
      </x:c>
      <x:c r="G126" s="59" t="str">
        <x:v>HIGH</x:v>
      </x:c>
      <x:c r="H126" s="59" t="str">
        <x:v>In nepali context it refeerse to name of a male</x:v>
      </x:c>
    </x:row>
    <x:row r="127">
      <x:c r="A127" s="59" t="str">
        <x:v>R3A-69A9687F4AF6</x:v>
      </x:c>
      <x:c r="B127" s="59" t="str">
        <x:v>jabaj</x:v>
      </x:c>
      <x:c r="C127" s="59" t="str">
        <x:v>jabaj</x:v>
      </x:c>
      <x:c r="D127" s="59" t="str">
        <x:v>ROMANIZED_NEPALI</x:v>
      </x:c>
      <x:c r="E127" s="59" t="str">
        <x:v>DEVANAGARI_TARGET_REQUIRED</x:v>
      </x:c>
      <x:c r="F127" s="59" t="str">
        <x:v>REQUIRED</x:v>
      </x:c>
      <x:c r="G127" s="59" t="str">
        <x:v>HIGH</x:v>
      </x:c>
      <x:c r="H127" s="59" t="str">
        <x:v>It means Couragious or Strong personality in nepali</x:v>
      </x:c>
    </x:row>
    <x:row r="128">
      <x:c r="A128" s="59" t="str">
        <x:v>R3A-F1423F7ECCBC</x:v>
      </x:c>
      <x:c r="B128" s="59" t="str">
        <x:v>net</x:v>
      </x:c>
      <x:c r="C128" s="59" t="str">
        <x:v>net</x:v>
      </x:c>
      <x:c r="D128" s="59" t="str">
        <x:v>ENGLISH_TERM</x:v>
      </x:c>
      <x:c r="E128" s="59" t="str">
        <x:v>LATIN_IDENTITY_REQUIRED</x:v>
      </x:c>
      <x:c r="F128" s="59" t="str">
        <x:v>OPTIONAL</x:v>
      </x:c>
      <x:c r="G128" s="59" t="str">
        <x:v>HIGH</x:v>
      </x:c>
      <x:c r="H128" s="59" t="str">
        <x:v>English but can also come in connection with other words in Romanized english</x:v>
      </x:c>
    </x:row>
    <x:row r="129">
      <x:c r="A129" s="59" t="str">
        <x:v>R3A-91DE04624709</x:v>
      </x:c>
      <x:c r="B129" s="59" t="str">
        <x:v>you</x:v>
      </x:c>
      <x:c r="C129" s="59" t="str">
        <x:v>you</x:v>
      </x:c>
      <x:c r="D129" s="59" t="str">
        <x:v>ENGLISH_TERM</x:v>
      </x:c>
      <x:c r="E129" s="59" t="str">
        <x:v>LATIN_IDENTITY_REQUIRED</x:v>
      </x:c>
      <x:c r="F129" s="59" t="str">
        <x:v>OPTIONAL</x:v>
      </x:c>
      <x:c r="G129" s="59" t="str">
        <x:v>HIGH</x:v>
      </x:c>
      <x:c r="H129" s="59" t="str">
        <x:v>English but can also come in connection with other words in Romanized english</x:v>
      </x:c>
    </x:row>
    <x:row r="130">
      <x:c r="A130" s="59" t="str">
        <x:v>R3A-ACB9FB792070</x:v>
      </x:c>
      <x:c r="B130" s="59" t="str">
        <x:v>sita</x:v>
      </x:c>
      <x:c r="C130" s="59" t="str">
        <x:v>sita</x:v>
      </x:c>
      <x:c r="D130" s="59" t="str">
        <x:v>ROMANIZED_NEPALI</x:v>
      </x:c>
      <x:c r="E130" s="59" t="str">
        <x:v>DEVANAGARI_TARGET_REQUIRED</x:v>
      </x:c>
      <x:c r="F130" s="59" t="str">
        <x:v>REQUIRED</x:v>
      </x:c>
      <x:c r="G130" s="59" t="str">
        <x:v>HIGH</x:v>
      </x:c>
      <x:c r="H130" s="59" t="str">
        <x:v>In nepali context it refeerse to name of a Lady</x:v>
      </x:c>
    </x:row>
    <x:row r="131">
      <x:c r="A131" s="59" t="str">
        <x:v>R3A-626435F340E3</x:v>
      </x:c>
      <x:c r="B131" s="59" t="str">
        <x:v>znxg</x:v>
      </x:c>
      <x:c r="C131" s="59" t="str">
        <x:v>znxg</x:v>
      </x:c>
      <x:c r="D131" s="59" t="str">
        <x:v>INVALID_OR_UNCLEAR</x:v>
      </x:c>
      <x:c r="E131" s="59" t="str">
        <x:v>CANNOT_DECIDE</x:v>
      </x:c>
      <x:c r="F131" s="59" t="str">
        <x:v>CANNOT_DECIDE</x:v>
      </x:c>
      <x:c r="G131" s="59" t="str">
        <x:v>MEDIUM</x:v>
      </x:c>
      <x:c r="H131" s="59" t="str">
        <x:v>I do not know whether it is in english or nepali, which language is it, in any context it may have any meaning</x:v>
      </x:c>
    </x:row>
    <x:row r="132">
      <x:c r="A132" s="59" t="str">
        <x:v>R3A-85EA52AECC70</x:v>
      </x:c>
      <x:c r="B132" s="59" t="str">
        <x:v>opening</x:v>
      </x:c>
      <x:c r="C132" s="59" t="str">
        <x:v>opening</x:v>
      </x:c>
      <x:c r="D132" s="59" t="str">
        <x:v>ENGLISH_TERM</x:v>
      </x:c>
      <x:c r="E132" s="59" t="str">
        <x:v>LATIN_IDENTITY_REQUIRED</x:v>
      </x:c>
      <x:c r="F132" s="59" t="str">
        <x:v>OPTIONAL</x:v>
      </x:c>
      <x:c r="G132" s="59" t="str">
        <x:v>HIGH</x:v>
      </x:c>
      <x:c r="H132" s="59" t="str">
        <x:v>English but can also come in connection with other words in Romanized english</x:v>
      </x:c>
    </x:row>
    <x:row r="133">
      <x:c r="A133" s="59" t="str">
        <x:v>R3A-ABF06A06C71E</x:v>
      </x:c>
      <x:c r="B133" s="59" t="str">
        <x:v>hari</x:v>
      </x:c>
      <x:c r="C133" s="59" t="str">
        <x:v>hari</x:v>
      </x:c>
      <x:c r="D133" s="59" t="str">
        <x:v>ROMANIZED_NEPALI</x:v>
      </x:c>
      <x:c r="E133" s="59" t="str">
        <x:v>DEVANAGARI_TARGET_REQUIRED</x:v>
      </x:c>
      <x:c r="F133" s="59" t="str">
        <x:v>REQUIRED</x:v>
      </x:c>
      <x:c r="G133" s="59" t="str">
        <x:v>HIGH</x:v>
      </x:c>
      <x:c r="H133" s="59" t="str">
        <x:v>In nepali context it refeerse to name of a male</x:v>
      </x:c>
    </x:row>
    <x:row r="134">
      <x:c r="A134" s="59" t="str">
        <x:v>R3A-FA58072CA297</x:v>
      </x:c>
      <x:c r="B134" s="59" t="str">
        <x:v>xyzzy</x:v>
      </x:c>
      <x:c r="C134" s="59" t="str">
        <x:v>xyzzy</x:v>
      </x:c>
      <x:c r="D134" s="59" t="str">
        <x:v>INVALID_OR_UNCLEAR</x:v>
      </x:c>
      <x:c r="E134" s="59" t="str">
        <x:v>CANNOT_DECIDE</x:v>
      </x:c>
      <x:c r="F134" s="59" t="str">
        <x:v>CANNOT_DECIDE</x:v>
      </x:c>
      <x:c r="G134" s="59" t="str">
        <x:v>MEDIUM</x:v>
      </x:c>
      <x:c r="H134" s="59" t="str">
        <x:v>I do not know whether it is in english or nepali, which language is it, in any context it may have any meaning</x:v>
      </x:c>
    </x:row>
    <x:row r="135">
      <x:c r="A135" s="59" t="str">
        <x:v>R3A-1A54988625B4</x:v>
      </x:c>
      <x:c r="B135" s="59" t="str">
        <x:v>bill</x:v>
      </x:c>
      <x:c r="C135" s="59" t="str">
        <x:v>bill</x:v>
      </x:c>
      <x:c r="D135" s="59" t="str">
        <x:v>ENGLISH_TERM</x:v>
      </x:c>
      <x:c r="E135" s="59" t="str">
        <x:v>LATIN_IDENTITY_REQUIRED</x:v>
      </x:c>
      <x:c r="F135" s="59" t="str">
        <x:v>OPTIONAL</x:v>
      </x:c>
      <x:c r="G135" s="59" t="str">
        <x:v>HIGH</x:v>
      </x:c>
      <x:c r="H135" s="59" t="str">
        <x:v>English but can also come in connection with other words in Romanized english</x:v>
      </x:c>
    </x:row>
    <x:row r="136">
      <x:c r="A136" s="59" t="str">
        <x:v>R3A-FBD090E9B85F</x:v>
      </x:c>
      <x:c r="B136" s="59" t="str">
        <x:v>foobar</x:v>
      </x:c>
      <x:c r="C136" s="59" t="str">
        <x:v>foobar</x:v>
      </x:c>
      <x:c r="D136" s="59" t="str">
        <x:v>INVALID_OR_UNCLEAR</x:v>
      </x:c>
      <x:c r="E136" s="59" t="str">
        <x:v>CANNOT_DECIDE</x:v>
      </x:c>
      <x:c r="F136" s="59" t="str">
        <x:v>CANNOT_DECIDE</x:v>
      </x:c>
      <x:c r="G136" s="59" t="str">
        <x:v>MEDIUM</x:v>
      </x:c>
      <x:c r="H136" s="59" t="str">
        <x:v>I do not know whether it is in english or nepali, which language is it, in any context it may have any meaning</x:v>
      </x:c>
    </x:row>
    <x:row r="137">
      <x:c r="A137" s="59" t="str">
        <x:v>R3A-EAE133036C15</x:v>
      </x:c>
      <x:c r="B137" s="59" t="str">
        <x:v>cheque</x:v>
      </x:c>
      <x:c r="C137" s="59" t="str">
        <x:v>cheque</x:v>
      </x:c>
      <x:c r="D137" s="59" t="str">
        <x:v>ENGLISH_TERM</x:v>
      </x:c>
      <x:c r="E137" s="59" t="str">
        <x:v>LATIN_IDENTITY_REQUIRED</x:v>
      </x:c>
      <x:c r="F137" s="59" t="str">
        <x:v>OPTIONAL</x:v>
      </x:c>
      <x:c r="G137" s="59" t="str">
        <x:v>HIGH</x:v>
      </x:c>
      <x:c r="H137" s="59" t="str">
        <x:v>English but can also come in connection with other words in Romanized english</x:v>
      </x:c>
    </x:row>
    <x:row r="138">
      <x:c r="A138" s="59" t="str">
        <x:v>R3A-9ECEADADD41F</x:v>
      </x:c>
      <x:c r="B138" s="59" t="str">
        <x:v>ram</x:v>
      </x:c>
      <x:c r="C138" s="59" t="str">
        <x:v>ram</x:v>
      </x:c>
      <x:c r="D138" s="59" t="str">
        <x:v>ROMANIZED_NEPALI</x:v>
      </x:c>
      <x:c r="E138" s="59" t="str">
        <x:v>DEVANAGARI_TARGET_REQUIRED</x:v>
      </x:c>
      <x:c r="F138" s="59" t="str">
        <x:v>REQUIRED</x:v>
      </x:c>
      <x:c r="G138" s="59" t="str">
        <x:v>HIGH</x:v>
      </x:c>
      <x:c r="H138" s="59" t="str">
        <x:v>In nepali context it refeerse to name of a male</x:v>
      </x:c>
    </x:row>
    <x:row r="139">
      <x:c r="A139" s="59" t="str">
        <x:v>R3A-6B5C3F4B79C1</x:v>
      </x:c>
      <x:c r="B139" s="59" t="str">
        <x:v>nau</x:v>
      </x:c>
      <x:c r="C139" s="59" t="str">
        <x:v>nau</x:v>
      </x:c>
      <x:c r="D139" s="59" t="str">
        <x:v>ROMANIZED_NEPALI</x:v>
      </x:c>
      <x:c r="E139" s="59" t="str">
        <x:v>DEVANAGARI_TARGET_REQUIRED</x:v>
      </x:c>
      <x:c r="F139" s="59" t="str">
        <x:v>REQUIRED</x:v>
      </x:c>
      <x:c r="G139" s="59" t="str">
        <x:v>MEDIUM</x:v>
      </x:c>
      <x:c r="H139" s="59" t="str">
        <x:v>nau is Romanized Nepali but its exact Devanagari form can depend on context, so a Devanagari candidate should be retained.</x:v>
      </x:c>
    </x:row>
    <x:row r="140">
      <x:c r="A140" s="59" t="str">
        <x:v>R3A-A5AB853CA40E</x:v>
      </x:c>
      <x:c r="B140" s="59" t="str">
        <x:v>to</x:v>
      </x:c>
      <x:c r="C140" s="59" t="str">
        <x:v>to</x:v>
      </x:c>
      <x:c r="D140" s="59" t="str">
        <x:v>ENGLISH_TERM</x:v>
      </x:c>
      <x:c r="E140" s="59" t="str">
        <x:v>LATIN_IDENTITY_REQUIRED</x:v>
      </x:c>
      <x:c r="F140" s="59" t="str">
        <x:v>OPTIONAL</x:v>
      </x:c>
      <x:c r="G140" s="59" t="str">
        <x:v>HIGH</x:v>
      </x:c>
      <x:c r="H140" s="59" t="str">
        <x:v>English but can also come in connection with other words in Romanized english</x:v>
      </x:c>
    </x:row>
    <x:row r="141">
      <x:c r="A141" s="59" t="str">
        <x:v>R3A-8BA19C672CD8</x:v>
      </x:c>
      <x:c r="B141" s="59" t="str">
        <x:v>blorp</x:v>
      </x:c>
      <x:c r="C141" s="59" t="str">
        <x:v>blorp</x:v>
      </x:c>
      <x:c r="D141" s="59" t="str">
        <x:v>INVALID_OR_UNCLEAR</x:v>
      </x:c>
      <x:c r="E141" s="59" t="str">
        <x:v>CANNOT_DECIDE</x:v>
      </x:c>
      <x:c r="F141" s="59" t="str">
        <x:v>CANNOT_DECIDE</x:v>
      </x:c>
      <x:c r="G141" s="59" t="str">
        <x:v>MEDIUM</x:v>
      </x:c>
      <x:c r="H141" s="59" t="str">
        <x:v>I do not know whether it is in english or nepali, which language is it, in any context it may have any meaning</x:v>
      </x:c>
    </x:row>
    <x:row r="142">
      <x:c r="A142" s="59" t="str">
        <x:v>R3A-3A26ACACC361</x:v>
      </x:c>
      <x:c r="B142" s="59" t="str">
        <x:v>were</x:v>
      </x:c>
      <x:c r="C142" s="59" t="str">
        <x:v>were</x:v>
      </x:c>
      <x:c r="D142" s="59" t="str">
        <x:v>ENGLISH_TERM</x:v>
      </x:c>
      <x:c r="E142" s="59" t="str">
        <x:v>LATIN_IDENTITY_REQUIRED</x:v>
      </x:c>
      <x:c r="F142" s="59" t="str">
        <x:v>OPTIONAL</x:v>
      </x:c>
      <x:c r="G142" s="59" t="str">
        <x:v>HIGH</x:v>
      </x:c>
      <x:c r="H142" s="59" t="str">
        <x:v>English but can also come in connection with other words in Romanized english</x:v>
      </x:c>
    </x:row>
    <x:row r="143">
      <x:c r="A143" s="59" t="str">
        <x:v>R3A-D93DC8E227F5</x:v>
      </x:c>
      <x:c r="B143" s="59" t="str">
        <x:v>tax</x:v>
      </x:c>
      <x:c r="C143" s="59" t="str">
        <x:v>tax</x:v>
      </x:c>
      <x:c r="D143" s="59" t="str">
        <x:v>ENGLISH_TERM</x:v>
      </x:c>
      <x:c r="E143" s="59" t="str">
        <x:v>LATIN_IDENTITY_REQUIRED</x:v>
      </x:c>
      <x:c r="F143" s="59" t="str">
        <x:v>OPTIONAL</x:v>
      </x:c>
      <x:c r="G143" s="59" t="str">
        <x:v>HIGH</x:v>
      </x:c>
      <x:c r="H143" s="59" t="str">
        <x:v>English but can also come in connection with other words in Romanized english</x:v>
      </x:c>
    </x:row>
    <x:row r="144">
      <x:c r="A144" s="59" t="str">
        <x:v>R3A-ECF297173878</x:v>
      </x:c>
      <x:c r="B144" s="59" t="str">
        <x:v>shyam</x:v>
      </x:c>
      <x:c r="C144" s="59" t="str">
        <x:v>shyam</x:v>
      </x:c>
      <x:c r="D144" s="59" t="str">
        <x:v>ROMANIZED_NEPALI</x:v>
      </x:c>
      <x:c r="E144" s="59" t="str">
        <x:v>DEVANAGARI_TARGET_REQUIRED</x:v>
      </x:c>
      <x:c r="F144" s="59" t="str">
        <x:v>REQUIRED</x:v>
      </x:c>
      <x:c r="G144" s="59" t="str">
        <x:v>HIGH</x:v>
      </x:c>
      <x:c r="H144" s="59" t="str">
        <x:v>In nepali context it refeerse to name of a male</x:v>
      </x:c>
    </x:row>
    <x:row r="145">
      <x:c r="A145" s="59" t="str">
        <x:v>R3A-6F62469204B0</x:v>
      </x:c>
      <x:c r="B145" s="59" t="str">
        <x:v>saya</x:v>
      </x:c>
      <x:c r="C145" s="59" t="str">
        <x:v>saya</x:v>
      </x:c>
      <x:c r="D145" s="59" t="str">
        <x:v>ROMANIZED_NEPALI</x:v>
      </x:c>
      <x:c r="E145" s="59" t="str">
        <x:v>DEVANAGARI_TARGET_REQUIRED</x:v>
      </x:c>
      <x:c r="F145" s="59" t="str">
        <x:v>REQUIRED</x:v>
      </x:c>
      <x:c r="G145" s="59" t="str">
        <x:v>HIGH</x:v>
      </x:c>
      <x:c r="H145" s="59" t="str">
        <x:v>In nepali context it refeerse to name of a Lady</x:v>
      </x:c>
    </x:row>
    <x:row r="146">
      <x:c r="A146" s="59" t="str">
        <x:v>R3A-BF4FDB7BF4E3</x:v>
      </x:c>
      <x:c r="B146" s="59" t="str">
        <x:v>payment</x:v>
      </x:c>
      <x:c r="C146" s="59" t="str">
        <x:v>payment</x:v>
      </x:c>
      <x:c r="D146" s="59" t="str">
        <x:v>ENGLISH_TERM</x:v>
      </x:c>
      <x:c r="E146" s="59" t="str">
        <x:v>LATIN_IDENTITY_REQUIRED</x:v>
      </x:c>
      <x:c r="F146" s="59" t="str">
        <x:v>OPTIONAL</x:v>
      </x:c>
      <x:c r="G146" s="59" t="str">
        <x:v>HIGH</x:v>
      </x:c>
      <x:c r="H146" s="59" t="str">
        <x:v>English but can also come in connection with other words in Romanized english</x:v>
      </x:c>
    </x:row>
    <x:row r="147">
      <x:c r="A147" s="59" t="str">
        <x:v>R3A-AD5C57F911FF</x:v>
      </x:c>
      <x:c r="B147" s="59" t="str">
        <x:v>qwerty</x:v>
      </x:c>
      <x:c r="C147" s="59" t="str">
        <x:v>qwerty</x:v>
      </x:c>
      <x:c r="D147" s="59" t="str">
        <x:v>INVALID_OR_UNCLEAR</x:v>
      </x:c>
      <x:c r="E147" s="59" t="str">
        <x:v>CANNOT_DECIDE</x:v>
      </x:c>
      <x:c r="F147" s="59" t="str">
        <x:v>CANNOT_DECIDE</x:v>
      </x:c>
      <x:c r="G147" s="59" t="str">
        <x:v>MEDIUM</x:v>
      </x:c>
      <x:c r="H147" s="59" t="str">
        <x:v>I do not know whether it is in english or nepali, which language is it, in any context it may have any meaning</x:v>
      </x:c>
    </x:row>
    <x:row r="148">
      <x:c r="A148" s="59" t="str">
        <x:v>R3A-9FB89CF5EB2E</x:v>
      </x:c>
      <x:c r="B148" s="59" t="str">
        <x:v>sale</x:v>
      </x:c>
      <x:c r="C148" s="59" t="str">
        <x:v>sale</x:v>
      </x:c>
      <x:c r="D148" s="59" t="str">
        <x:v>ENGLISH_TERM</x:v>
      </x:c>
      <x:c r="E148" s="59" t="str">
        <x:v>LATIN_IDENTITY_REQUIRED</x:v>
      </x:c>
      <x:c r="F148" s="59" t="str">
        <x:v>OPTIONAL</x:v>
      </x:c>
      <x:c r="G148" s="59" t="str">
        <x:v>HIGH</x:v>
      </x:c>
      <x:c r="H148" s="59" t="str">
        <x:v>English but can also come in connection with other words in Romanized english</x:v>
      </x:c>
    </x:row>
    <x:row r="149">
      <x:c r="A149" s="59" t="str">
        <x:v>R3A-5AB19BC3D6C1</x:v>
      </x:c>
      <x:c r="B149" s="59" t="str">
        <x:v>tomorrow</x:v>
      </x:c>
      <x:c r="C149" s="59" t="str">
        <x:v>tomorrow</x:v>
      </x:c>
      <x:c r="D149" s="59" t="str">
        <x:v>ENGLISH_TERM</x:v>
      </x:c>
      <x:c r="E149" s="59" t="str">
        <x:v>LATIN_IDENTITY_REQUIRED</x:v>
      </x:c>
      <x:c r="F149" s="59" t="str">
        <x:v>OPTIONAL</x:v>
      </x:c>
      <x:c r="G149" s="59" t="str">
        <x:v>HIGH</x:v>
      </x:c>
      <x:c r="H149" s="59" t="str">
        <x:v>English but can also come in connection with other words in Romanized english</x:v>
      </x:c>
    </x:row>
    <x:row r="150">
      <x:c r="A150" s="59" t="str">
        <x:v>R3A-A2958A737E24</x:v>
      </x:c>
      <x:c r="B150" s="59" t="str">
        <x:v>xyzzy</x:v>
      </x:c>
      <x:c r="C150" s="59" t="str">
        <x:v>xyzzy</x:v>
      </x:c>
      <x:c r="D150" s="59" t="str">
        <x:v>INVALID_OR_UNCLEAR</x:v>
      </x:c>
      <x:c r="E150" s="59" t="str">
        <x:v>CANNOT_DECIDE</x:v>
      </x:c>
      <x:c r="F150" s="59" t="str">
        <x:v>CANNOT_DECIDE</x:v>
      </x:c>
      <x:c r="G150" s="59" t="str">
        <x:v>MEDIUM</x:v>
      </x:c>
      <x:c r="H150" s="59" t="str">
        <x:v>I do not know whether it is in english or nepali, which language is it, in any context it may have any meaning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</x:cols>
  <x:sheetData>
    <x:row r="1">
      <x:c r="A1" s="61" t="str">
        <x:v>MAI-07R3 Round A — LOCKED HUMAN REVIEW</x:v>
      </x:c>
      <x:c r="B1" s="61" t="str">
        <x:v>MAI-07R3 Round A — LOCKED HUMAN REVIEW</x:v>
      </x:c>
      <x:c r="C1" s="61" t="str">
        <x:v>MAI-07R3 Round A — LOCKED HUMAN REVIEW</x:v>
      </x:c>
      <x:c r="D1" s="61" t="str">
        <x:v>MAI-07R3 Round A — LOCKED HUMAN REVIEW</x:v>
      </x:c>
    </x:row>
    <x:row r="2">
      <x:c r="A2" s="61" t="str">
        <x:v>MAI-07R3 Round A — LOCKED HUMAN REVIEW</x:v>
      </x:c>
      <x:c r="B2" s="61" t="str">
        <x:v>MAI-07R3 Round A — LOCKED HUMAN REVIEW</x:v>
      </x:c>
      <x:c r="C2" s="61" t="str">
        <x:v>MAI-07R3 Round A — LOCKED HUMAN REVIEW</x:v>
      </x:c>
      <x:c r="D2" s="61" t="str">
        <x:v>MAI-07R3 Round A — LOCKED HUMAN REVIEW</x:v>
      </x:c>
    </x:row>
    <x:row r="4">
      <x:c r="A4" s="66" t="str">
        <x:v>Lock field</x:v>
      </x:c>
      <x:c r="B4" s="67" t="str">
        <x:v>Value</x:v>
      </x:c>
    </x:row>
    <x:row r="5" ht="30" customHeight="1">
      <x:c r="A5" s="68" t="str">
        <x:v>Status</x:v>
      </x:c>
      <x:c r="B5" s="69" t="str">
        <x:v>LOCKED</x:v>
      </x:c>
    </x:row>
    <x:row r="6" ht="30" customHeight="1">
      <x:c r="A6" s="68" t="str">
        <x:v>Reviewer</x:v>
      </x:c>
      <x:c r="B6" s="69" t="str">
        <x:v>Tapendra Awasthi</x:v>
      </x:c>
    </x:row>
    <x:row r="7" ht="30" customHeight="1">
      <x:c r="A7" s="68" t="str">
        <x:v>Product owner reviewed</x:v>
      </x:c>
      <x:c r="B7" s="69" t="str">
        <x:v>YES</x:v>
      </x:c>
    </x:row>
    <x:row r="8" ht="30" customHeight="1">
      <x:c r="A8" s="68" t="str">
        <x:v>Nepali-fluent reviewed</x:v>
      </x:c>
      <x:c r="B8" s="69" t="str">
        <x:v>YES</x:v>
      </x:c>
    </x:row>
    <x:row r="9" ht="30" customHeight="1">
      <x:c r="A9" s="68" t="str">
        <x:v>Professional linguist</x:v>
      </x:c>
      <x:c r="B9" s="69" t="str">
        <x:v>NO</x:v>
      </x:c>
    </x:row>
    <x:row r="10" ht="30" customHeight="1">
      <x:c r="A10" s="68" t="str">
        <x:v>Policy decision</x:v>
      </x:c>
      <x:c r="B10" s="69" t="str">
        <x:v>APPROVE OPTION A</x:v>
      </x:c>
    </x:row>
    <x:row r="11" ht="30" customHeight="1">
      <x:c r="A11" s="68" t="str">
        <x:v>Case count</x:v>
      </x:c>
      <x:c r="B11" s="69" t="n">
        <x:v>149</x:v>
      </x:c>
    </x:row>
    <x:row r="12" ht="30" customHeight="1">
      <x:c r="A12" s="68" t="str">
        <x:v>Incomplete cases</x:v>
      </x:c>
      <x:c r="B12" s="69" t="n">
        <x:v>0</x:v>
      </x:c>
    </x:row>
    <x:row r="13" ht="30" customHeight="1">
      <x:c r="A13" s="68" t="str">
        <x:v>Consistency conflicts</x:v>
      </x:c>
      <x:c r="B13" s="69" t="n">
        <x:v>0</x:v>
      </x:c>
    </x:row>
    <x:row r="14" ht="30" customHeight="1">
      <x:c r="A14" s="68" t="str">
        <x:v>Locked CSV SHA-256</x:v>
      </x:c>
      <x:c r="B14" s="69" t="str">
        <x:v>f01270e3017162259d2d305e158e86e386eb86841e4928b99546cd613d037f49</x:v>
      </x:c>
    </x:row>
    <x:row r="15" ht="30" customHeight="1">
      <x:c r="A15" s="68" t="str">
        <x:v>Locked at UTC</x:v>
      </x:c>
      <x:c r="B15" s="69" t="str">
        <x:v>UTC 2026-07-15T14:22:09.770Z</x:v>
      </x:c>
    </x:row>
    <x:row r="16" ht="30" customHeight="1">
      <x:c r="A16" s="70" t="str">
        <x:v>Rule</x:v>
      </x:c>
      <x:c r="B16" s="71" t="str">
        <x:v>Do not edit Round A decisions after this lock. Begin Round B only from this locked state.</x:v>
      </x:c>
    </x:row>
  </x:sheetData>
  <x:mergeCells>
    <x:mergeCell ref="A1:D2"/>
  </x:mergeCells>
  <x:pageMargins left="0.7" right="0.7" top="0.75" bottom="0.75" header="0.3" footer="0.3"/>
</x:worksheet>
</file>