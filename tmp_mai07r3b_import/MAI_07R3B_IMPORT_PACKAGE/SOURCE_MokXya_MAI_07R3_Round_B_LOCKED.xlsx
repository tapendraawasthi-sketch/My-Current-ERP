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11253ce7a248b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4482799e9dc74e8c"/>
    <x:sheet xmlns:r="http://schemas.openxmlformats.org/officeDocument/2006/relationships" name="Round B Review" sheetId="2" r:id="R5ecab8ae02f043bf"/>
    <x:sheet xmlns:r="http://schemas.openxmlformats.org/officeDocument/2006/relationships" name="Choice Guide" sheetId="3" r:id="R804d29d771fe4f6e"/>
    <x:sheet xmlns:r="http://schemas.openxmlformats.org/officeDocument/2006/relationships" name="Reviewer Declaration" sheetId="4" r:id="R38524edf50a54ca9"/>
    <x:sheet xmlns:r="http://schemas.openxmlformats.org/officeDocument/2006/relationships" name="Source Integrity" sheetId="5" r:id="R2f4acc9ef5a14dd3"/>
    <x:sheet xmlns:r="http://schemas.openxmlformats.org/officeDocument/2006/relationships" name="Locked CSV Export" sheetId="6" r:id="R751d49d32a824e44"/>
    <x:sheet xmlns:r="http://schemas.openxmlformats.org/officeDocument/2006/relationships" name="Round B Lock" sheetId="7" r:id="Rdba6be409cce4817"/>
  </x:sheets>
</x:workbook>
</file>

<file path=xl/sharedStrings.xml><?xml version="1.0" encoding="utf-8"?>
<x:sst xmlns:x="http://schemas.openxmlformats.org/spreadsheetml/2006/main">
  <x:si>
    <x:t xml:space="preserve">MokXya MAI-07R3 — Round B Candidate Acceptability Review</x:t>
  </x:si>
  <x:si>
    <x:t xml:space="preserve">Review status</x:t>
  </x:si>
  <x:si>
    <x:t xml:space="preserve">Value</x:t>
  </x:si>
  <x:si>
    <x:t xml:space="preserve">Meaning</x:t>
  </x:si>
  <x:si>
    <x:t xml:space="preserve">Required action</x:t>
  </x:si>
  <x:si>
    <x:t xml:space="preserve">Candidate judgments</x:t>
  </x:si>
  <x:si>
    <x:t xml:space="preserve">One decision per candidate row</x:t>
  </x:si>
  <x:si>
    <x:t xml:space="preserve">Complete all 263 yellow cells</x:t>
  </x:si>
  <x:si>
    <x:t xml:space="preserve">Blinded items</x:t>
  </x:si>
  <x:si>
    <x:t xml:space="preserve">Opaque Round A-linked groups</x:t>
  </x:si>
  <x:si>
    <x:t xml:space="preserve">Do not reopen Round A while judging</x:t>
  </x:si>
  <x:si>
    <x:t xml:space="preserve">Complete</x:t>
  </x:si>
  <x:si>
    <x:t xml:space="preserve">Acceptability selected</x:t>
  </x:si>
  <x:si>
    <x:t xml:space="preserve">Reach 263 before declaring complete</x:t>
  </x:si>
  <x:si>
    <x:t xml:space="preserve">Pending</x:t>
  </x:si>
  <x:si>
    <x:t xml:space="preserve">Acceptability still blank</x:t>
  </x:si>
  <x:si>
    <x:t xml:space="preserve">Finish these rows; use CANNOT_DECIDE when necessary</x:t>
  </x:si>
  <x:si>
    <x:t xml:space="preserve">Progress</x:t>
  </x:si>
  <x:si>
    <x:t xml:space="preserve">Completion percentage</x:t>
  </x:si>
  <x:si>
    <x:t xml:space="preserve">Round B locks only after 100%</x:t>
  </x:si>
  <x:si>
    <x:t xml:space="preserve">1. Work only in ‘Round B Review’. Do not reopen Round A or the blind-mapping file.</x:t>
  </x:si>
  <x:si>
    <x:t xml:space="preserve">2. For each row, decide whether that candidate can validly represent the highlighted span in the shown context.</x:t>
  </x:si>
  <x:si>
    <x:t xml:space="preserve">3. Candidate index is only a randomized label—not rank, quality, or system preference.</x:t>
  </x:si>
  <x:si>
    <x:t xml:space="preserve">4. Judge each candidate independently. Multiple candidates—or no candidates—may be acceptable for one item.</x:t>
  </x:si>
  <x:si>
    <x:t xml:space="preserve">5. Choose CANNOT_DECIDE when context or your knowledge is insufficient; never guess to improve a score.</x:t>
  </x:si>
  <x:si>
    <x:t xml:space="preserve">6. Complete ‘Reviewer Declaration’ only after every candidate row is complete.</x:t>
  </x:si>
  <x:si>
    <x:t xml:space="preserve">Decision meanings / निर्णयको अर्थ</x:t>
  </x:si>
  <x:si>
    <x:t xml:space="preserve">ACCEPTABLE / स्वीकार्य — valid for this highlighted span in this context; it need not be your preferred top candidate.</x:t>
  </x:si>
  <x:si>
    <x:t xml:space="preserve">UNACCEPTABLE / अस्वीकार्य — wrong, misleading, malformed, or unsafe for this highlighted span in this context.</x:t>
  </x:si>
  <x:si>
    <x:t xml:space="preserve">CANNOT_DECIDE / निर्णय गर्न सकिँदैन — evidence or reviewer certainty is insufficient for a safe judgment.</x:t>
  </x:si>
  <x:si>
    <x:t xml:space="preserve">IMPORTANT: AI may explain the instructions, but must not choose candidate acceptability. Your independent human judgment is the evidence.</x:t>
  </x:si>
  <x:si>
    <x:t xml:space="preserve">Round B — Independent Candidate Judgments</x:t>
  </x:si>
  <x:si>
    <x:t xml:space="preserve">Edit only the yellow Acceptability cells. Candidate label is randomized and is not a rank. Source columns must remain unchanged.</x:t>
  </x:si>
  <x:si>
    <x:t xml:space="preserve">Judgment #</x:t>
  </x:si>
  <x:si>
    <x:t xml:space="preserve">Review ID</x:t>
  </x:si>
  <x:si>
    <x:t xml:space="preserve">Input Text</x:t>
  </x:si>
  <x:si>
    <x:t xml:space="preserve">Highlighted Span</x:t>
  </x:si>
  <x:si>
    <x:t xml:space="preserve">Candidate Label (not rank)</x:t>
  </x:si>
  <x:si>
    <x:t xml:space="preserve">Candidate Surface</x:t>
  </x:si>
  <x:si>
    <x:t xml:space="preserve">Acceptability</x:t>
  </x:si>
  <x:si>
    <x:t xml:space="preserve">Completion</x:t>
  </x:si>
  <x:si>
    <x:t xml:space="preserve">R3A-39CE6CDF4E01</x:t>
  </x:si>
  <x:si>
    <x:t xml:space="preserve">by</x:t>
  </x:si>
  <x:si>
    <x:t xml:space="preserve">0</x:t>
  </x:si>
  <x:si>
    <x:t xml:space="preserve">ACCEPTABLE</x:t>
  </x:si>
  <x:si>
    <x:t xml:space="preserve">R3A-D928292459B8</x:t>
  </x:si>
  <x:si>
    <x:t xml:space="preserve">foobar</x:t>
  </x:si>
  <x:si>
    <x:t xml:space="preserve">CANNOT_DECIDE</x:t>
  </x:si>
  <x:si>
    <x:t xml:space="preserve">R3A-5F1F96BF1D8A</x:t>
  </x:si>
  <x:si>
    <x:t xml:space="preserve">namaste</x:t>
  </x:si>
  <x:si>
    <x:t xml:space="preserve">नमस्ते</x:t>
  </x:si>
  <x:si>
    <x:t xml:space="preserve">1</x:t>
  </x:si>
  <x:si>
    <x:t xml:space="preserve">R3A-E4A4DA896D92</x:t>
  </x:si>
  <x:si>
    <x:t xml:space="preserve">debit</x:t>
  </x:si>
  <x:si>
    <x:t xml:space="preserve">डेबिट</x:t>
  </x:si>
  <x:si>
    <x:t xml:space="preserve">R3A-E5A7E27F52DC</x:t>
  </x:si>
  <x:si>
    <x:t xml:space="preserve">is</x:t>
  </x:si>
  <x:si>
    <x:t xml:space="preserve">R3A-08D2D9E18C3E</x:t>
  </x:si>
  <x:si>
    <x:t xml:space="preserve">UNACCEPTABLE</x:t>
  </x:si>
  <x:si>
    <x:t xml:space="preserve">R3A-347C5BF89E23</x:t>
  </x:si>
  <x:si>
    <x:t xml:space="preserve">dhanyabad</x:t>
  </x:si>
  <x:si>
    <x:t xml:space="preserve">धन्यवाद</x:t>
  </x:si>
  <x:si>
    <x:t xml:space="preserve">R3A-2D51C4838C53</x:t>
  </x:si>
  <x:si>
    <x:t xml:space="preserve">of</x:t>
  </x:si>
  <x:si>
    <x:t xml:space="preserve">R3A-70E44521539E</x:t>
  </x:si>
  <x:si>
    <x:t xml:space="preserve">qwerty</x:t>
  </x:si>
  <x:si>
    <x:t xml:space="preserve">R3A-3E876C1291B7</x:t>
  </x:si>
  <x:si>
    <x:t xml:space="preserve">R3A-39EB0539DAC9</x:t>
  </x:si>
  <x:si>
    <x:t xml:space="preserve">purchase</x:t>
  </x:si>
  <x:si>
    <x:t xml:space="preserve">R3A-A5F31D8C84CB</x:t>
  </x:si>
  <x:si>
    <x:t xml:space="preserve">jaanu</x:t>
  </x:si>
  <x:si>
    <x:t xml:space="preserve">जानु</x:t>
  </x:si>
  <x:si>
    <x:t xml:space="preserve">R3A-CC3C5545DFF2</x:t>
  </x:si>
  <x:si>
    <x:t xml:space="preserve">sale</x:t>
  </x:si>
  <x:si>
    <x:t xml:space="preserve">R3A-CDED5E4068C3</x:t>
  </x:si>
  <x:si>
    <x:t xml:space="preserve">advance</x:t>
  </x:si>
  <x:si>
    <x:t xml:space="preserve">एडभान्स</x:t>
  </x:si>
  <x:si>
    <x:t xml:space="preserve">R3A-FD1643D2A572</x:t>
  </x:si>
  <x:si>
    <x:t xml:space="preserve">xyzzy</x:t>
  </x:si>
  <x:si>
    <x:t xml:space="preserve">R3A-CBCF674A4003</x:t>
  </x:si>
  <x:si>
    <x:t xml:space="preserve">report</x:t>
  </x:si>
  <x:si>
    <x:t xml:space="preserve">रिपोर्ट</x:t>
  </x:si>
  <x:si>
    <x:t xml:space="preserve">R3A-D81C5B5C3197</x:t>
  </x:si>
  <x:si>
    <x:t xml:space="preserve">due</x:t>
  </x:si>
  <x:si>
    <x:t xml:space="preserve">ड्यू</x:t>
  </x:si>
  <x:si>
    <x:t xml:space="preserve">R3A-2CAD17A31352</x:t>
  </x:si>
  <x:si>
    <x:t xml:space="preserve">total</x:t>
  </x:si>
  <x:si>
    <x:t xml:space="preserve">टोटल</x:t>
  </x:si>
  <x:si>
    <x:t xml:space="preserve">R3A-C55159DEA9B4</x:t>
  </x:si>
  <x:si>
    <x:t xml:space="preserve">balance</x:t>
  </x:si>
  <x:si>
    <x:t xml:space="preserve">ब्यालेन्स</x:t>
  </x:si>
  <x:si>
    <x:t xml:space="preserve">2</x:t>
  </x:si>
  <x:si>
    <x:t xml:space="preserve">हिसाब</x:t>
  </x:si>
  <x:si>
    <x:t xml:space="preserve">R3A-6D65C017CF24</x:t>
  </x:si>
  <x:si>
    <x:t xml:space="preserve">lekh</x:t>
  </x:si>
  <x:si>
    <x:t xml:space="preserve">लेख</x:t>
  </x:si>
  <x:si>
    <x:t xml:space="preserve">R3A-433EDC9F6C5E</x:t>
  </x:si>
  <x:si>
    <x:t xml:space="preserve">dherai</x:t>
  </x:si>
  <x:si>
    <x:t xml:space="preserve">धेरै</x:t>
  </x:si>
  <x:si>
    <x:t xml:space="preserve">R3A-79B012C03064</x:t>
  </x:si>
  <x:si>
    <x:t xml:space="preserve">sabai</x:t>
  </x:si>
  <x:si>
    <x:t xml:space="preserve">सबै</x:t>
  </x:si>
  <x:si>
    <x:t xml:space="preserve">R3A-589DC1F8F577</x:t>
  </x:si>
  <x:si>
    <x:t xml:space="preserve">voucher</x:t>
  </x:si>
  <x:si>
    <x:t xml:space="preserve">R3A-249ADDBC500F</x:t>
  </x:si>
  <x:si>
    <x:t xml:space="preserve">amount</x:t>
  </x:si>
  <x:si>
    <x:t xml:space="preserve">R3A-C7D45E4B6625</x:t>
  </x:si>
  <x:si>
    <x:t xml:space="preserve">znxg</x:t>
  </x:si>
  <x:si>
    <x:t xml:space="preserve">R3A-1ECE91757DA9</x:t>
  </x:si>
  <x:si>
    <x:t xml:space="preserve">blorp</x:t>
  </x:si>
  <x:si>
    <x:t xml:space="preserve">R3A-1E521567ADDA</x:t>
  </x:si>
  <x:si>
    <x:t xml:space="preserve">mary</x:t>
  </x:si>
  <x:si>
    <x:t xml:space="preserve">R3A-F3D8DE0BFE22</x:t>
  </x:si>
  <x:si>
    <x:t xml:space="preserve">R3A-BA4616E7C135</x:t>
  </x:si>
  <x:si>
    <x:t xml:space="preserve">owner</x:t>
  </x:si>
  <x:si>
    <x:t xml:space="preserve">मालिक</x:t>
  </x:si>
  <x:si>
    <x:t xml:space="preserve">R3A-52B1B116547F</x:t>
  </x:si>
  <x:si>
    <x:t xml:space="preserve">anita</x:t>
  </x:si>
  <x:si>
    <x:t xml:space="preserve">अनिता</x:t>
  </x:si>
  <x:si>
    <x:t xml:space="preserve">R3A-DEC366606C62</x:t>
  </x:si>
  <x:si>
    <x:t xml:space="preserve">ram</x:t>
  </x:si>
  <x:si>
    <x:t xml:space="preserve">राम</x:t>
  </x:si>
  <x:si>
    <x:t xml:space="preserve">रम</x:t>
  </x:si>
  <x:si>
    <x:t xml:space="preserve">R3A-E835A1D01157</x:t>
  </x:si>
  <x:si>
    <x:t xml:space="preserve">gita</x:t>
  </x:si>
  <x:si>
    <x:t xml:space="preserve">गइत</x:t>
  </x:si>
  <x:si>
    <x:t xml:space="preserve">गीता</x:t>
  </x:si>
  <x:si>
    <x:t xml:space="preserve">R3A-F16AFA9E4AC3</x:t>
  </x:si>
  <x:si>
    <x:t xml:space="preserve">kineko</x:t>
  </x:si>
  <x:si>
    <x:t xml:space="preserve">किनेको</x:t>
  </x:si>
  <x:si>
    <x:t xml:space="preserve">R3A-2573D516AAC5</x:t>
  </x:si>
  <x:si>
    <x:t xml:space="preserve">sunnu</x:t>
  </x:si>
  <x:si>
    <x:t xml:space="preserve">सुन्नु</x:t>
  </x:si>
  <x:si>
    <x:t xml:space="preserve">R3A-11C576A29373</x:t>
  </x:si>
  <x:si>
    <x:t xml:space="preserve">loss</x:t>
  </x:si>
  <x:si>
    <x:t xml:space="preserve">लस</x:t>
  </x:si>
  <x:si>
    <x:t xml:space="preserve">R3A-458970948EDF</x:t>
  </x:si>
  <x:si>
    <x:t xml:space="preserve">unit</x:t>
  </x:si>
  <x:si>
    <x:t xml:space="preserve">इकाई</x:t>
  </x:si>
  <x:si>
    <x:t xml:space="preserve">R3A-B4C60C073F8C</x:t>
  </x:si>
  <x:si>
    <x:t xml:space="preserve">supplier</x:t>
  </x:si>
  <x:si>
    <x:t xml:space="preserve">सप्लायर</x:t>
  </x:si>
  <x:si>
    <x:t xml:space="preserve">R3A-CFE4B5AA9EC9</x:t>
  </x:si>
  <x:si>
    <x:t xml:space="preserve">aja</x:t>
  </x:si>
  <x:si>
    <x:t xml:space="preserve">आज</x:t>
  </x:si>
  <x:si>
    <x:t xml:space="preserve">R3A-8C7D6F3ED27B</x:t>
  </x:si>
  <x:si>
    <x:t xml:space="preserve">preeti</x:t>
  </x:si>
  <x:si>
    <x:t xml:space="preserve">प्रीति</x:t>
  </x:si>
  <x:si>
    <x:t xml:space="preserve">R3A-DD00E9658A07</x:t>
  </x:si>
  <x:si>
    <x:t xml:space="preserve">garidim</x:t>
  </x:si>
  <x:si>
    <x:t xml:space="preserve">गरिदिम्</x:t>
  </x:si>
  <x:si>
    <x:t xml:space="preserve">R3A-19BD164EF09F</x:t>
  </x:si>
  <x:si>
    <x:t xml:space="preserve">ledger</x:t>
  </x:si>
  <x:si>
    <x:t xml:space="preserve">लेजर</x:t>
  </x:si>
  <x:si>
    <x:t xml:space="preserve">R3A-746D07D2BE40</x:t>
  </x:si>
  <x:si>
    <x:t xml:space="preserve">dekhau</x:t>
  </x:si>
  <x:si>
    <x:t xml:space="preserve">देखाउ</x:t>
  </x:si>
  <x:si>
    <x:t xml:space="preserve">R3A-2DC856D4D6FF</x:t>
  </x:si>
  <x:si>
    <x:t xml:space="preserve">xu</x:t>
  </x:si>
  <x:si>
    <x:t xml:space="preserve">छु</x:t>
  </x:si>
  <x:si>
    <x:t xml:space="preserve">R3A-1C07AF58CC39</x:t>
  </x:si>
  <x:si>
    <x:t xml:space="preserve">ram dai aayo</x:t>
  </x:si>
  <x:si>
    <x:t xml:space="preserve">R3A-0A1601A427F9</x:t>
  </x:si>
  <x:si>
    <x:t xml:space="preserve">R3A-9DD5A68A1E47</x:t>
  </x:si>
  <x:si>
    <x:t xml:space="preserve">thana</x:t>
  </x:si>
  <x:si>
    <x:t xml:space="preserve">थाना</x:t>
  </x:si>
  <x:si>
    <x:t xml:space="preserve">R3A-87A3E123EEB2</x:t>
  </x:si>
  <x:si>
    <x:t xml:space="preserve">hari</x:t>
  </x:si>
  <x:si>
    <x:t xml:space="preserve">हरि</x:t>
  </x:si>
  <x:si>
    <x:t xml:space="preserve">हृ</x:t>
  </x:si>
  <x:si>
    <x:t xml:space="preserve">R3A-3D948BB91CB2</x:t>
  </x:si>
  <x:si>
    <x:t xml:space="preserve">commission</x:t>
  </x:si>
  <x:si>
    <x:t xml:space="preserve">कमिसन</x:t>
  </x:si>
  <x:si>
    <x:t xml:space="preserve">R3A-0F7FBD8EB910</x:t>
  </x:si>
  <x:si>
    <x:t xml:space="preserve">party</x:t>
  </x:si>
  <x:si>
    <x:t xml:space="preserve">पार्टी</x:t>
  </x:si>
  <x:si>
    <x:t xml:space="preserve">R3A-4B43CD1650FC</x:t>
  </x:si>
  <x:si>
    <x:t xml:space="preserve">ghata</x:t>
  </x:si>
  <x:si>
    <x:t xml:space="preserve">घाटा</x:t>
  </x:si>
  <x:si>
    <x:t xml:space="preserve">R3A-473762AA5C8F</x:t>
  </x:si>
  <x:si>
    <x:t xml:space="preserve">bholi</x:t>
  </x:si>
  <x:si>
    <x:t xml:space="preserve">भोलि</x:t>
  </x:si>
  <x:si>
    <x:t xml:space="preserve">R3A-91E0F15B74E7</x:t>
  </x:si>
  <x:si>
    <x:t xml:space="preserve">receipt</x:t>
  </x:si>
  <x:si>
    <x:t xml:space="preserve">रसिद</x:t>
  </x:si>
  <x:si>
    <x:t xml:space="preserve">R3A-81E39CBCED53</x:t>
  </x:si>
  <x:si>
    <x:t xml:space="preserve">ok</x:t>
  </x:si>
  <x:si>
    <x:t xml:space="preserve">R3A-D741A2C87671</x:t>
  </x:si>
  <x:si>
    <x:t xml:space="preserve">plan</x:t>
  </x:si>
  <x:si>
    <x:t xml:space="preserve">प्लान</x:t>
  </x:si>
  <x:si>
    <x:t xml:space="preserve">R3A-AB46E3F8600E</x:t>
  </x:si>
  <x:si>
    <x:t xml:space="preserve">net</x:t>
  </x:si>
  <x:si>
    <x:t xml:space="preserve">R3A-7874572285AD</x:t>
  </x:si>
  <x:si>
    <x:t xml:space="preserve">discount</x:t>
  </x:si>
  <x:si>
    <x:t xml:space="preserve">डिस्काउन्ट</x:t>
  </x:si>
  <x:si>
    <x:t xml:space="preserve">R3A-825BB747601C</x:t>
  </x:si>
  <x:si>
    <x:t xml:space="preserve">please</x:t>
  </x:si>
  <x:si>
    <x:t xml:space="preserve">R3A-D41A31C71C46</x:t>
  </x:si>
  <x:si>
    <x:t xml:space="preserve">stock</x:t>
  </x:si>
  <x:si>
    <x:t xml:space="preserve">स्टक</x:t>
  </x:si>
  <x:si>
    <x:t xml:space="preserve">R3A-A547FA55FAA3</x:t>
  </x:si>
  <x:si>
    <x:t xml:space="preserve">kine</x:t>
  </x:si>
  <x:si>
    <x:t xml:space="preserve">किने</x:t>
  </x:si>
  <x:si>
    <x:t xml:space="preserve">R3A-59A86236B8E1</x:t>
  </x:si>
  <x:si>
    <x:t xml:space="preserve">rajeev</x:t>
  </x:si>
  <x:si>
    <x:t xml:space="preserve">राजीव</x:t>
  </x:si>
  <x:si>
    <x:t xml:space="preserve">R3A-D7ABD644B593</x:t>
  </x:si>
  <x:si>
    <x:t xml:space="preserve">R3A-CBAC4A22C534</x:t>
  </x:si>
  <x:si>
    <x:t xml:space="preserve">R3A-BD31D1068C43</x:t>
  </x:si>
  <x:si>
    <x:t xml:space="preserve">pcs</x:t>
  </x:si>
  <x:si>
    <x:t xml:space="preserve">वटा</x:t>
  </x:si>
  <x:si>
    <x:t xml:space="preserve">R3A-C79C78C6A996</x:t>
  </x:si>
  <x:si>
    <x:t xml:space="preserve">lai</x:t>
  </x:si>
  <x:si>
    <x:t xml:space="preserve">लाई</x:t>
  </x:si>
  <x:si>
    <x:t xml:space="preserve">R3A-F5CF1B72BF07</x:t>
  </x:si>
  <x:si>
    <x:t xml:space="preserve">R3A-0179AF09253F</x:t>
  </x:si>
  <x:si>
    <x:t xml:space="preserve">R3A-35D8AB1646F4</x:t>
  </x:si>
  <x:si>
    <x:t xml:space="preserve">cash</x:t>
  </x:si>
  <x:si>
    <x:t xml:space="preserve">क्यास</x:t>
  </x:si>
  <x:si>
    <x:t xml:space="preserve">R3A-9F9619436CA3</x:t>
  </x:si>
  <x:si>
    <x:t xml:space="preserve">credit</x:t>
  </x:si>
  <x:si>
    <x:t xml:space="preserve">क्रेडिट</x:t>
  </x:si>
  <x:si>
    <x:t xml:space="preserve">R3A-6A1AF337B21B</x:t>
  </x:si>
  <x:si>
    <x:t xml:space="preserve">opening</x:t>
  </x:si>
  <x:si>
    <x:t xml:space="preserve">R3A-1788E7D5D0A1</x:t>
  </x:si>
  <x:si>
    <x:t xml:space="preserve">R3A-4F0FB37A553F</x:t>
  </x:si>
  <x:si>
    <x:t xml:space="preserve">rakhnu</x:t>
  </x:si>
  <x:si>
    <x:t xml:space="preserve">राख्नु</x:t>
  </x:si>
  <x:si>
    <x:t xml:space="preserve">R3A-910CA16A8201</x:t>
  </x:si>
  <x:si>
    <x:t xml:space="preserve">भाउचर</x:t>
  </x:si>
  <x:si>
    <x:t xml:space="preserve">R3A-BB51DD6E9ED0</x:t>
  </x:si>
  <x:si>
    <x:t xml:space="preserve">susan</x:t>
  </x:si>
  <x:si>
    <x:t xml:space="preserve">R3A-DB48C68438C8</x:t>
  </x:si>
  <x:si>
    <x:t xml:space="preserve">shyam</x:t>
  </x:si>
  <x:si>
    <x:t xml:space="preserve">शयम</x:t>
  </x:si>
  <x:si>
    <x:t xml:space="preserve">श्याम</x:t>
  </x:si>
  <x:si>
    <x:t xml:space="preserve">R3A-E466FA9B2BF3</x:t>
  </x:si>
  <x:si>
    <x:t xml:space="preserve">gross</x:t>
  </x:si>
  <x:si>
    <x:t xml:space="preserve">ग्रस</x:t>
  </x:si>
  <x:si>
    <x:t xml:space="preserve">R3A-66F68104288C</x:t>
  </x:si>
  <x:si>
    <x:t xml:space="preserve">R3A-229898769D5B</x:t>
  </x:si>
  <x:si>
    <x:t xml:space="preserve">customer</x:t>
  </x:si>
  <x:si>
    <x:t xml:space="preserve">R3A-710A7D0167DC</x:t>
  </x:si>
  <x:si>
    <x:t xml:space="preserve">dokaan</x:t>
  </x:si>
  <x:si>
    <x:t xml:space="preserve">दुकान</x:t>
  </x:si>
  <x:si>
    <x:t xml:space="preserve">R3A-1955993A8F69</x:t>
  </x:si>
  <x:si>
    <x:t xml:space="preserve">malai</x:t>
  </x:si>
  <x:si>
    <x:t xml:space="preserve">मलाई</x:t>
  </x:si>
  <x:si>
    <x:t xml:space="preserve">R3A-81797ACEEE9A</x:t>
  </x:si>
  <x:si>
    <x:t xml:space="preserve">R3A-81D90B95625F</x:t>
  </x:si>
  <x:si>
    <x:t xml:space="preserve">bill</x:t>
  </x:si>
  <x:si>
    <x:t xml:space="preserve">बिल</x:t>
  </x:si>
  <x:si>
    <x:t xml:space="preserve">बइलल</x:t>
  </x:si>
  <x:si>
    <x:t xml:space="preserve">R3A-A22962BC478A</x:t>
  </x:si>
  <x:si>
    <x:t xml:space="preserve">R3A-F4643880A9BC</x:t>
  </x:si>
  <x:si>
    <x:t xml:space="preserve">bank</x:t>
  </x:si>
  <x:si>
    <x:t xml:space="preserve">बैंक</x:t>
  </x:si>
  <x:si>
    <x:t xml:space="preserve">बैङ्क</x:t>
  </x:si>
  <x:si>
    <x:t xml:space="preserve">R3A-DBE3D2111C87</x:t>
  </x:si>
  <x:si>
    <x:t xml:space="preserve">कस्टमर</x:t>
  </x:si>
  <x:si>
    <x:t xml:space="preserve">R3A-49A02088DC63</x:t>
  </x:si>
  <x:si>
    <x:t xml:space="preserve">pokhara</x:t>
  </x:si>
  <x:si>
    <x:t xml:space="preserve">पोखरा</x:t>
  </x:si>
  <x:si>
    <x:t xml:space="preserve">R3A-6001D63FAD3E</x:t>
  </x:si>
  <x:si>
    <x:t xml:space="preserve">sita</x:t>
  </x:si>
  <x:si>
    <x:t xml:space="preserve">सइत</x:t>
  </x:si>
  <x:si>
    <x:t xml:space="preserve">सीता</x:t>
  </x:si>
  <x:si>
    <x:t xml:space="preserve">R3A-309B3CEE3117</x:t>
  </x:si>
  <x:si>
    <x:t xml:space="preserve">R3A-3D44EBBA4A60</x:t>
  </x:si>
  <x:si>
    <x:t xml:space="preserve">tijori</x:t>
  </x:si>
  <x:si>
    <x:t xml:space="preserve">तिजोरी</x:t>
  </x:si>
  <x:si>
    <x:t xml:space="preserve">R3A-19AF235F1D07</x:t>
  </x:si>
  <x:si>
    <x:t xml:space="preserve">xaina</x:t>
  </x:si>
  <x:si>
    <x:t xml:space="preserve">छैन</x:t>
  </x:si>
  <x:si>
    <x:t xml:space="preserve">R3A-48A9DED65168</x:t>
  </x:si>
  <x:si>
    <x:t xml:space="preserve">R3A-46B32A27444A</x:t>
  </x:si>
  <x:si>
    <x:t xml:space="preserve">profit</x:t>
  </x:si>
  <x:si>
    <x:t xml:space="preserve">प्रोफिट</x:t>
  </x:si>
  <x:si>
    <x:t xml:space="preserve">R3A-A2E3A7DCE3D0</x:t>
  </x:si>
  <x:si>
    <x:t xml:space="preserve">R3A-DEBF4EE37F6D</x:t>
  </x:si>
  <x:si>
    <x:t xml:space="preserve">today</x:t>
  </x:si>
  <x:si>
    <x:t xml:space="preserve">R3A-46CD1830FE9D</x:t>
  </x:si>
  <x:si>
    <x:t xml:space="preserve">closing</x:t>
  </x:si>
  <x:si>
    <x:t xml:space="preserve">R3A-03590AA81D78</x:t>
  </x:si>
  <x:si>
    <x:t xml:space="preserve">क्लोजिङ</x:t>
  </x:si>
  <x:si>
    <x:t xml:space="preserve">R3A-44D26D6634B0</x:t>
  </x:si>
  <x:si>
    <x:t xml:space="preserve">sales</x:t>
  </x:si>
  <x:si>
    <x:t xml:space="preserve">सेल्स</x:t>
  </x:si>
  <x:si>
    <x:t xml:space="preserve">R3A-E6C27DD9EB4E</x:t>
  </x:si>
  <x:si>
    <x:t xml:space="preserve">krishna</x:t>
  </x:si>
  <x:si>
    <x:t xml:space="preserve">कृष्ण</x:t>
  </x:si>
  <x:si>
    <x:t xml:space="preserve">R3A-89B7DB4A1A4A</x:t>
  </x:si>
  <x:si>
    <x:t xml:space="preserve">for</x:t>
  </x:si>
  <x:si>
    <x:t xml:space="preserve">R3A-52168F6474CC</x:t>
  </x:si>
  <x:si>
    <x:t xml:space="preserve">on</x:t>
  </x:si>
  <x:si>
    <x:t xml:space="preserve">R3A-5F4340339B0A</x:t>
  </x:si>
  <x:si>
    <x:t xml:space="preserve">R3A-844DB568325C</x:t>
  </x:si>
  <x:si>
    <x:t xml:space="preserve">paani</x:t>
  </x:si>
  <x:si>
    <x:t xml:space="preserve">पानी</x:t>
  </x:si>
  <x:si>
    <x:t xml:space="preserve">R3A-61C16981C721</x:t>
  </x:si>
  <x:si>
    <x:t xml:space="preserve">thulo</x:t>
  </x:si>
  <x:si>
    <x:t xml:space="preserve">ठूलो</x:t>
  </x:si>
  <x:si>
    <x:t xml:space="preserve">R3A-1FCB214AAFF8</x:t>
  </x:si>
  <x:si>
    <x:t xml:space="preserve">was</x:t>
  </x:si>
  <x:si>
    <x:t xml:space="preserve">R3A-9ED02F13AB81</x:t>
  </x:si>
  <x:si>
    <x:t xml:space="preserve">R3A-B21EA865A670</x:t>
  </x:si>
  <x:si>
    <x:t xml:space="preserve">usko</x:t>
  </x:si>
  <x:si>
    <x:t xml:space="preserve">उसको</x:t>
  </x:si>
  <x:si>
    <x:t xml:space="preserve">R3A-2777FD563D44</x:t>
  </x:si>
  <x:si>
    <x:t xml:space="preserve">R3A-92AFC696170A</x:t>
  </x:si>
  <x:si>
    <x:t xml:space="preserve">R3A-88C773037682</x:t>
  </x:si>
  <x:si>
    <x:t xml:space="preserve">chaina</x:t>
  </x:si>
  <x:si>
    <x:t xml:space="preserve">R3A-02AB46A9C72F</x:t>
  </x:si>
  <x:si>
    <x:t xml:space="preserve">R3A-57E415379DE6</x:t>
  </x:si>
  <x:si>
    <x:t xml:space="preserve">पर्चेज</x:t>
  </x:si>
  <x:si>
    <x:t xml:space="preserve">R3A-96D266DDD445</x:t>
  </x:si>
  <x:si>
    <x:t xml:space="preserve">in</x:t>
  </x:si>
  <x:si>
    <x:t xml:space="preserve">R3A-EB0C046F2CA3</x:t>
  </x:si>
  <x:si>
    <x:t xml:space="preserve">R3A-C632964AAC91</x:t>
  </x:si>
  <x:si>
    <x:t xml:space="preserve">john</x:t>
  </x:si>
  <x:si>
    <x:t xml:space="preserve">R3A-1B5DC8515B6B</x:t>
  </x:si>
  <x:si>
    <x:t xml:space="preserve">byapar</x:t>
  </x:si>
  <x:si>
    <x:t xml:space="preserve">व्यापार</x:t>
  </x:si>
  <x:si>
    <x:t xml:space="preserve">R3A-3C51844C067F</x:t>
  </x:si>
  <x:si>
    <x:t xml:space="preserve">hajar</x:t>
  </x:si>
  <x:si>
    <x:t xml:space="preserve">हजार</x:t>
  </x:si>
  <x:si>
    <x:t xml:space="preserve">R3A-8C4F698FCD49</x:t>
  </x:si>
  <x:si>
    <x:t xml:space="preserve">haru</x:t>
  </x:si>
  <x:si>
    <x:t xml:space="preserve">हरू</x:t>
  </x:si>
  <x:si>
    <x:t xml:space="preserve">R3A-AC9E3AA78D9B</x:t>
  </x:si>
  <x:si>
    <x:t xml:space="preserve">nepal</x:t>
  </x:si>
  <x:si>
    <x:t xml:space="preserve">नेपाल</x:t>
  </x:si>
  <x:si>
    <x:t xml:space="preserve">R3A-7F4E9C760597</x:t>
  </x:si>
  <x:si>
    <x:t xml:space="preserve">usle</x:t>
  </x:si>
  <x:si>
    <x:t xml:space="preserve">उसले</x:t>
  </x:si>
  <x:si>
    <x:t xml:space="preserve">R3A-A3337AE882EF</x:t>
  </x:si>
  <x:si>
    <x:t xml:space="preserve">bikriyat</x:t>
  </x:si>
  <x:si>
    <x:t xml:space="preserve">बिक्रय</x:t>
  </x:si>
  <x:si>
    <x:t xml:space="preserve">R3A-473E29CACC82</x:t>
  </x:si>
  <x:si>
    <x:t xml:space="preserve">R3A-CD170900DCD2</x:t>
  </x:si>
  <x:si>
    <x:t xml:space="preserve">my</x:t>
  </x:si>
  <x:si>
    <x:t xml:space="preserve">R3A-DDB46BE83E59</x:t>
  </x:si>
  <x:si>
    <x:t xml:space="preserve">aaja</x:t>
  </x:si>
  <x:si>
    <x:t xml:space="preserve">R3A-6E81B0F59A7C</x:t>
  </x:si>
  <x:si>
    <x:t xml:space="preserve">rupiya</x:t>
  </x:si>
  <x:si>
    <x:t xml:space="preserve">रुपैयाँ</x:t>
  </x:si>
  <x:si>
    <x:t xml:space="preserve">R3A-E11303FC4AF9</x:t>
  </x:si>
  <x:si>
    <x:t xml:space="preserve">yes</x:t>
  </x:si>
  <x:si>
    <x:t xml:space="preserve">R3A-A86B407317B4</x:t>
  </x:si>
  <x:si>
    <x:t xml:space="preserve">R3A-69A9687F4AF6</x:t>
  </x:si>
  <x:si>
    <x:t xml:space="preserve">jabaj</x:t>
  </x:si>
  <x:si>
    <x:t xml:space="preserve">जबाफ</x:t>
  </x:si>
  <x:si>
    <x:t xml:space="preserve">R3A-F1423F7ECCBC</x:t>
  </x:si>
  <x:si>
    <x:t xml:space="preserve">नएत</x:t>
  </x:si>
  <x:si>
    <x:t xml:space="preserve">नएट</x:t>
  </x:si>
  <x:si>
    <x:t xml:space="preserve">3</x:t>
  </x:si>
  <x:si>
    <x:t xml:space="preserve">नेट</x:t>
  </x:si>
  <x:si>
    <x:t xml:space="preserve">R3A-91DE04624709</x:t>
  </x:si>
  <x:si>
    <x:t xml:space="preserve">you</x:t>
  </x:si>
  <x:si>
    <x:t xml:space="preserve">R3A-ACB9FB792070</x:t>
  </x:si>
  <x:si>
    <x:t xml:space="preserve">R3A-626435F340E3</x:t>
  </x:si>
  <x:si>
    <x:t xml:space="preserve">R3A-85EA52AECC70</x:t>
  </x:si>
  <x:si>
    <x:t xml:space="preserve">ओपनिङ</x:t>
  </x:si>
  <x:si>
    <x:t xml:space="preserve">R3A-ABF06A06C71E</x:t>
  </x:si>
  <x:si>
    <x:t xml:space="preserve">R3A-FA58072CA297</x:t>
  </x:si>
  <x:si>
    <x:t xml:space="preserve">R3A-1A54988625B4</x:t>
  </x:si>
  <x:si>
    <x:t xml:space="preserve">R3A-FBD090E9B85F</x:t>
  </x:si>
  <x:si>
    <x:t xml:space="preserve">R3A-EAE133036C15</x:t>
  </x:si>
  <x:si>
    <x:t xml:space="preserve">cheque</x:t>
  </x:si>
  <x:si>
    <x:t xml:space="preserve">चेक</x:t>
  </x:si>
  <x:si>
    <x:t xml:space="preserve">R3A-9ECEADADD41F</x:t>
  </x:si>
  <x:si>
    <x:t xml:space="preserve">R3A-6B5C3F4B79C1</x:t>
  </x:si>
  <x:si>
    <x:t xml:space="preserve">nau</x:t>
  </x:si>
  <x:si>
    <x:t xml:space="preserve">नौ</x:t>
  </x:si>
  <x:si>
    <x:t xml:space="preserve">R3A-A5AB853CA40E</x:t>
  </x:si>
  <x:si>
    <x:t xml:space="preserve">to</x:t>
  </x:si>
  <x:si>
    <x:t xml:space="preserve">R3A-8BA19C672CD8</x:t>
  </x:si>
  <x:si>
    <x:t xml:space="preserve">R3A-3A26ACACC361</x:t>
  </x:si>
  <x:si>
    <x:t xml:space="preserve">were</x:t>
  </x:si>
  <x:si>
    <x:t xml:space="preserve">R3A-D93DC8E227F5</x:t>
  </x:si>
  <x:si>
    <x:t xml:space="preserve">tax</x:t>
  </x:si>
  <x:si>
    <x:t xml:space="preserve">कर</x:t>
  </x:si>
  <x:si>
    <x:t xml:space="preserve">ट्याक्स</x:t>
  </x:si>
  <x:si>
    <x:t xml:space="preserve">R3A-ECF297173878</x:t>
  </x:si>
  <x:si>
    <x:t xml:space="preserve">R3A-6F62469204B0</x:t>
  </x:si>
  <x:si>
    <x:t xml:space="preserve">saya</x:t>
  </x:si>
  <x:si>
    <x:t xml:space="preserve">सय</x:t>
  </x:si>
  <x:si>
    <x:t xml:space="preserve">R3A-BF4FDB7BF4E3</x:t>
  </x:si>
  <x:si>
    <x:t xml:space="preserve">payment</x:t>
  </x:si>
  <x:si>
    <x:t xml:space="preserve">पेमेन्ट</x:t>
  </x:si>
  <x:si>
    <x:t xml:space="preserve">R3A-AD5C57F911FF</x:t>
  </x:si>
  <x:si>
    <x:t xml:space="preserve">R3A-9FB89CF5EB2E</x:t>
  </x:si>
  <x:si>
    <x:t xml:space="preserve">बिक्री</x:t>
  </x:si>
  <x:si>
    <x:t xml:space="preserve">सलए</x:t>
  </x:si>
  <x:si>
    <x:t xml:space="preserve">सेल</x:t>
  </x:si>
  <x:si>
    <x:t xml:space="preserve">R3A-5AB19BC3D6C1</x:t>
  </x:si>
  <x:si>
    <x:t xml:space="preserve">tomorrow</x:t>
  </x:si>
  <x:si>
    <x:t xml:space="preserve">R3A-A2958A737E24</x:t>
  </x:si>
  <x:si>
    <x:t xml:space="preserve">Round B Choice Guide</x:t>
  </x:si>
  <x:si>
    <x:t xml:space="preserve">Choice</x:t>
  </x:si>
  <x:si>
    <x:t xml:space="preserve">Use when</x:t>
  </x:si>
  <x:si>
    <x:t xml:space="preserve">Do not confuse with</x:t>
  </x:si>
  <x:si>
    <x:t xml:space="preserve">Short self-check</x:t>
  </x:si>
  <x:si>
    <x:t xml:space="preserve">The candidate can validly express the highlighted span in the shown context.</x:t>
  </x:si>
  <x:si>
    <x:t xml:space="preserve">It does not have to be the preferred or top-ranked form.</x:t>
  </x:si>
  <x:si>
    <x:t xml:space="preserve">Would showing this candidate be linguistically and semantically defensible here?</x:t>
  </x:si>
  <x:si>
    <x:t xml:space="preserve">The candidate is wrong, misleading, malformed, unsafe, or changes the intended meaning.</x:t>
  </x:si>
  <x:si>
    <x:t xml:space="preserve">Do not reject merely because another candidate is better.</x:t>
  </x:si>
  <x:si>
    <x:t xml:space="preserve">Would this candidate mislead the user or corrupt the intended span?</x:t>
  </x:si>
  <x:si>
    <x:t xml:space="preserve">Context or reviewer certainty is genuinely insufficient.</x:t>
  </x:si>
  <x:si>
    <x:t xml:space="preserve">It is not a shortcut for a difficult but answerable case.</x:t>
  </x:si>
  <x:si>
    <x:t xml:space="preserve">What missing context or expertise prevents a safe judgment?</x:t>
  </x:si>
  <x:si>
    <x:t xml:space="preserve">Rule</x:t>
  </x:si>
  <x:si>
    <x:t xml:space="preserve">Why it matters</x:t>
  </x:si>
  <x:si>
    <x:t xml:space="preserve">Required behavior</x:t>
  </x:si>
  <x:si>
    <x:t xml:space="preserve">Independent candidates</x:t>
  </x:si>
  <x:si>
    <x:t xml:space="preserve">Judge every row on its own validity.</x:t>
  </x:si>
  <x:si>
    <x:t xml:space="preserve">Acceptability is not a forced-choice competition.</x:t>
  </x:si>
  <x:si>
    <x:t xml:space="preserve">Multiple or zero candidates may be acceptable.</x:t>
  </x:si>
  <x:si>
    <x:t xml:space="preserve">Candidate label ≠ rank</x:t>
  </x:si>
  <x:si>
    <x:t xml:space="preserve">The displayed index is a randomized identifier only.</x:t>
  </x:si>
  <x:si>
    <x:t xml:space="preserve">Order must not bias judgment.</x:t>
  </x:si>
  <x:si>
    <x:t xml:space="preserve">Never infer system preference from the index.</x:t>
  </x:si>
  <x:si>
    <x:t xml:space="preserve">Context-bound</x:t>
  </x:si>
  <x:si>
    <x:t xml:space="preserve">Use the shown input and highlighted span.</x:t>
  </x:si>
  <x:si>
    <x:t xml:space="preserve">A spelling can be valid generally but wrong here.</x:t>
  </x:si>
  <x:si>
    <x:t xml:space="preserve">Judge the candidate for this exact context.</x:t>
  </x:si>
  <x:si>
    <x:t xml:space="preserve">Round A separation</x:t>
  </x:si>
  <x:si>
    <x:t xml:space="preserve">Do not consult your earlier class/rank choices.</x:t>
  </x:si>
  <x:si>
    <x:t xml:space="preserve">Round B is an independent measurement.</x:t>
  </x:si>
  <x:si>
    <x:t xml:space="preserve">Keep Round A closed until Round B is locked.</x:t>
  </x:si>
  <x:si>
    <x:t xml:space="preserve">No score optimization</x:t>
  </x:si>
  <x:si>
    <x:t xml:space="preserve">Do not guess what will make MokXya pass.</x:t>
  </x:si>
  <x:si>
    <x:t xml:space="preserve">Human policy evidence must remain honest.</x:t>
  </x:si>
  <x:si>
    <x:t xml:space="preserve">Record your real judgment or CANNOT_DECIDE.</x:t>
  </x:si>
  <x:si>
    <x:t xml:space="preserve">नेपाली सारांश: प्रत्येक उम्मेदवारलाई देखाइएको सन्दर्भमा छुट्टाछुट्टै जाँच्नुहोस्। क्रमाङ्कलाई र्‍याङ्क नमान्नुहोस्। निश्चय नभए CANNOT_DECIDE छान्नुहोस्।</x:t>
  </x:si>
  <x:si>
    <x:t xml:space="preserve">Round B Reviewer Declaration</x:t>
  </x:si>
  <x:si>
    <x:t xml:space="preserve">Field</x:t>
  </x:si>
  <x:si>
    <x:t xml:space="preserve">Human response</x:t>
  </x:si>
  <x:si>
    <x:t xml:space="preserve">Reviewer name</x:t>
  </x:si>
  <x:si>
    <x:t xml:space="preserve">Tapendra Awasthi</x:t>
  </x:si>
  <x:si>
    <x:t xml:space="preserve">Review date (YYYY-MM-DD)</x:t>
  </x:si>
  <x:si>
    <x:t xml:space="preserve">2026-07-15</x:t>
  </x:si>
  <x:si>
    <x:t xml:space="preserve">Round A was locked before Round B</x:t>
  </x:si>
  <x:si>
    <x:t xml:space="preserve">YES</x:t>
  </x:si>
  <x:si>
    <x:t xml:space="preserve">Product-owner review</x:t>
  </x:si>
  <x:si>
    <x:t xml:space="preserve">Nepali-fluent review</x:t>
  </x:si>
  <x:si>
    <x:t xml:space="preserve">Professional linguist</x:t>
  </x:si>
  <x:si>
    <x:t xml:space="preserve">NO</x:t>
  </x:si>
  <x:si>
    <x:t xml:space="preserve">I reviewed independently from Round A decisions</x:t>
  </x:si>
  <x:si>
    <x:t xml:space="preserve">I did not inspect the blind mapping</x:t>
  </x:si>
  <x:si>
    <x:t xml:space="preserve">I did not use current ranks/scores/provenance</x:t>
  </x:si>
  <x:si>
    <x:t xml:space="preserve">AI did not autofill acceptability decisions</x:t>
  </x:si>
  <x:si>
    <x:t xml:space="preserve">Round B complete declaration</x:t>
  </x:si>
  <x:si>
    <x:t xml:space="preserve">Declaration semantics</x:t>
  </x:si>
  <x:si>
    <x:t xml:space="preserve">Integrity field</x:t>
  </x:si>
  <x:si>
    <x:t xml:space="preserve">Status</x:t>
  </x:si>
  <x:si>
    <x:t xml:space="preserve">Source file</x:t>
  </x:si>
  <x:si>
    <x:t xml:space="preserve">MAI_07R3_ROUND_B_REVIEW.csv</x:t>
  </x:si>
  <x:si>
    <x:t xml:space="preserve">Source SHA-256</x:t>
  </x:si>
  <x:si>
    <x:t xml:space="preserve">bb1d2b1929def4d1fc05b021bd7dcdc4238cad4fbeb23106fb1ef5d224b8b221</x:t>
  </x:si>
  <x:si>
    <x:t xml:space="preserve">Candidate judgment rows</x:t>
  </x:si>
  <x:si>
    <x:t xml:space="preserve">Unique blinded items</x:t>
  </x:si>
  <x:si>
    <x:t xml:space="preserve">Opaque ID set matches locked Round A</x:t>
  </x:si>
  <x:si>
    <x:t xml:space="preserve">Source acceptability fields blank</x:t>
  </x:si>
  <x:si>
    <x:t xml:space="preserve">YES (263/263)</x:t>
  </x:si>
  <x:si>
    <x:t xml:space="preserve">Rank/score/provenance columns absent</x:t>
  </x:si>
  <x:si>
    <x:t xml:space="preserve">Candidate count distribution</x:t>
  </x:si>
  <x:si>
    <x:t xml:space="preserve">53 items × 1 candidates; 80 items × 2 candidates; 14 items × 3 candidates; 2 items × 4 candidates</x:t>
  </x:si>
  <x:si>
    <x:t xml:space="preserve">Locked Round A response SHA-256</x:t>
  </x:si>
  <x:si>
    <x:t xml:space="preserve">f01270e3017162259d2d305e158e86e386eb86841e4928b99546cd613d037f49</x:t>
  </x:si>
</x:sst>
</file>

<file path=xl/styles.xml><?xml version="1.0" encoding="utf-8"?>
<x:styleSheet xmlns:x="http://schemas.openxmlformats.org/spreadsheetml/2006/main">
  <x:numFmts count="1">
    <x:numFmt numFmtId="164" formatCode="0.0%"/>
  </x:numFmts>
  <x:fonts count="13">
    <x:font>
      <x:sz val="11"/>
      <x:name val="Carlito"/>
    </x:font>
    <x:font>
      <x:b/>
      <x:sz val="18"/>
      <x:color rgb="FFFFFFFF"/>
      <x:name val="Aptos"/>
    </x:font>
    <x:font>
      <x:b/>
      <x:sz val="11"/>
      <x:color rgb="FF7A4E00"/>
      <x:name val="Aptos"/>
    </x:font>
    <x:font>
      <x:sz val="11"/>
      <x:name val="Aptos"/>
    </x:font>
    <x:font>
      <x:b/>
      <x:sz val="11"/>
      <x:color rgb="FFFFFFFF"/>
      <x:name val="Aptos"/>
    </x:font>
    <x:font>
      <x:b/>
      <x:sz val="11"/>
      <x:color rgb="FF16324F"/>
      <x:name val="Aptos"/>
    </x:font>
    <x:font>
      <x:b/>
      <x:sz val="11"/>
      <x:color rgb="FF0F766E"/>
      <x:name val="Aptos"/>
    </x:font>
    <x:font>
      <x:b/>
      <x:sz val="11"/>
      <x:color rgb="FF8A1C1C"/>
      <x:name val="Aptos"/>
    </x:font>
    <x:font>
      <x:sz val="11"/>
      <x:color rgb="FF39434D"/>
      <x:name val="Aptos"/>
    </x:font>
    <x:font>
      <x:b/>
      <x:sz val="11"/>
      <x:name val="Aptos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b/>
      <x:sz val="11"/>
      <x:color rgb="FF16324F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FFF7D6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E6F4F1"/>
      </x:patternFill>
    </x:fill>
    <x:fill>
      <x:patternFill patternType="solid">
        <x:fgColor rgb="FFFDECEC"/>
      </x:patternFill>
    </x:fill>
    <x:fill>
      <x:patternFill patternType="solid">
        <x:fgColor rgb="FFF3F5F7"/>
      </x:patternFill>
    </x:fill>
    <x:fill>
      <x:patternFill patternType="solid">
        <x:fgColor rgb="FFF4F8FB"/>
      </x:patternFill>
    </x:fill>
    <x:fill>
      <x:patternFill patternType="solid">
        <x:fgColor rgb="FF0F766E"/>
      </x:patternFill>
    </x:fill>
    <x:fill>
      <x:patternFill patternType="solid">
        <x:fgColor rgb="FF16324F"/>
      </x:patternFill>
    </x:fill>
    <x:fill>
      <x:patternFill patternType="solid">
        <x:fgColor rgb="FFF3F5F7"/>
      </x:patternFill>
    </x:fill>
    <x:fill>
      <x:patternFill patternType="solid">
        <x:fgColor rgb="FFFFF7D6"/>
      </x:patternFill>
    </x:fill>
  </x:fills>
  <x:borders count="10">
    <x:border/>
    <x:border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bottom style="thin">
        <x:color rgb="FFD7DEE5"/>
      </x:bottom>
    </x:border>
    <x:border>
      <x:left style="thin">
        <x:color rgb="FFD7DEE5"/>
      </x:left>
      <x:bottom style="thin">
        <x:color rgb="FFD7DEE5"/>
      </x:bottom>
    </x:border>
    <x:border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right style="thin">
        <x:color rgb="FFD7DEE5"/>
      </x:right>
      <x:top style="thin">
        <x:color rgb="FFD7DEE5"/>
      </x:top>
      <x:bottom style="thin">
        <x:color rgb="FFD7DEE5"/>
      </x:bottom>
    </x:border>
    <x:border>
      <x:left style="thin">
        <x:color rgb="FFD7DEE5"/>
      </x:left>
      <x:top style="thin">
        <x:color rgb="FFD7DEE5"/>
      </x:top>
      <x:bottom style="thin">
        <x:color rgb="FFD7DEE5"/>
      </x:bottom>
    </x:border>
    <x:border>
      <x:right style="thin">
        <x:color rgb="FFD7DEE5"/>
      </x:right>
      <x:top style="thin">
        <x:color rgb="FFD7DEE5"/>
      </x:top>
    </x:border>
    <x:border>
      <x:left style="thin">
        <x:color rgb="FFD7DEE5"/>
      </x:left>
      <x:right style="thin">
        <x:color rgb="FFD7DEE5"/>
      </x:right>
      <x:top style="thin">
        <x:color rgb="FFD7DEE5"/>
      </x:top>
    </x:border>
    <x:border>
      <x:left style="thin">
        <x:color rgb="FFD7DEE5"/>
      </x:left>
      <x:top style="thin">
        <x:color rgb="FFD7DEE5"/>
      </x:top>
    </x:border>
  </x:borders>
  <x:cellStyleXfs count="1">
    <x:xf numFmtId="0" fontId="0" fillId="0" borderId="0"/>
  </x:cellStyleXfs>
  <x:cellXfs count="78">
    <x:xf numFmtId="0" fontId="0" fillId="0" borderId="0" xfId="0"/>
    <x:xf numFmtId="0" fontId="3" fillId="0" borderId="0" xfId="0" applyFont="1"/>
    <x:xf numFmtId="0" fontId="4" fillId="4" borderId="0" xfId="0" applyFont="1" applyFill="1"/>
    <x:xf numFmtId="0" fontId="5" fillId="0" borderId="1" xfId="0" applyFont="1" applyBorder="1" applyAlignment="1">
      <x:alignment vertical="center"/>
    </x:xf>
    <x:xf numFmtId="0" fontId="5" fillId="5" borderId="2" xfId="0" applyFont="1" applyFill="1" applyBorder="1" applyAlignment="1">
      <x:alignment horizontal="center" vertical="center"/>
    </x:xf>
    <x:xf numFmtId="0" fontId="3" fillId="0" borderId="2" xfId="0" applyFont="1" applyBorder="1" applyAlignment="1">
      <x:alignment vertical="center" wrapText="1"/>
    </x:xf>
    <x:xf numFmtId="0" fontId="3" fillId="0" borderId="3" xfId="0" applyFont="1" applyBorder="1" applyAlignment="1">
      <x:alignment vertical="center" wrapText="1"/>
    </x:xf>
    <x:xf numFmtId="0" fontId="5" fillId="0" borderId="4" xfId="0" applyFont="1" applyBorder="1" applyAlignment="1">
      <x:alignment vertical="center"/>
    </x:xf>
    <x:xf numFmtId="0" fontId="5" fillId="5" borderId="5" xfId="0" applyFont="1" applyFill="1" applyBorder="1" applyAlignment="1">
      <x:alignment horizontal="center" vertical="center"/>
    </x:xf>
    <x:xf numFmtId="0" fontId="3" fillId="0" borderId="5" xfId="0" applyFont="1" applyBorder="1" applyAlignment="1">
      <x:alignment vertical="center" wrapText="1"/>
    </x:xf>
    <x:xf numFmtId="0" fontId="3" fillId="0" borderId="6" xfId="0" applyFont="1" applyBorder="1" applyAlignment="1">
      <x:alignment vertical="center" wrapText="1"/>
    </x:xf>
    <x:xf numFmtId="0" fontId="5" fillId="0" borderId="7" xfId="0" applyFont="1" applyBorder="1" applyAlignment="1">
      <x:alignment vertical="center"/>
    </x:xf>
    <x:xf numFmtId="164" fontId="5" fillId="5" borderId="8" xfId="0" applyNumberFormat="1" applyFont="1" applyFill="1" applyBorder="1" applyAlignment="1">
      <x:alignment horizontal="center" vertical="center"/>
    </x:xf>
    <x:xf numFmtId="0" fontId="3" fillId="0" borderId="8" xfId="0" applyFont="1" applyBorder="1" applyAlignment="1">
      <x:alignment vertical="center" wrapText="1"/>
    </x:xf>
    <x:xf numFmtId="0" fontId="3" fillId="0" borderId="9" xfId="0" applyFont="1" applyBorder="1" applyAlignment="1">
      <x:alignment vertical="center" wrapText="1"/>
    </x:xf>
    <x:xf numFmtId="0" fontId="4" fillId="4" borderId="0" xfId="0" applyFont="1" applyFill="1" applyAlignment="1">
      <x:alignment vertical="center" wrapText="1"/>
    </x:xf>
    <x:xf numFmtId="0" fontId="8" fillId="8" borderId="1" xfId="0" applyFont="1" applyFill="1" applyBorder="1" applyAlignment="1">
      <x:alignment horizontal="center" vertical="center" wrapText="1"/>
    </x:xf>
    <x:xf numFmtId="0" fontId="8" fillId="8" borderId="2" xfId="0" applyFont="1" applyFill="1" applyBorder="1" applyAlignment="1">
      <x:alignment horizontal="center" vertical="center" wrapText="1"/>
    </x:xf>
    <x:xf numFmtId="0" fontId="8" fillId="8" borderId="2" xfId="0" applyFont="1" applyFill="1" applyBorder="1" applyAlignment="1">
      <x:alignment vertical="center" wrapText="1"/>
    </x:xf>
    <x:xf numFmtId="0" fontId="9" fillId="3" borderId="2" xfId="0" applyFont="1" applyFill="1" applyBorder="1" applyAlignment="1">
      <x:alignment horizontal="center" vertical="center"/>
    </x:xf>
    <x:xf numFmtId="0" fontId="9" fillId="5" borderId="3" xfId="0" applyFont="1" applyFill="1" applyBorder="1" applyAlignment="1">
      <x:alignment horizontal="center" vertical="center"/>
    </x:xf>
    <x:xf numFmtId="0" fontId="8" fillId="9" borderId="4" xfId="0" applyFont="1" applyFill="1" applyBorder="1" applyAlignment="1">
      <x:alignment horizontal="center" vertical="center" wrapText="1"/>
    </x:xf>
    <x:xf numFmtId="0" fontId="8" fillId="9" borderId="5" xfId="0" applyFont="1" applyFill="1" applyBorder="1" applyAlignment="1">
      <x:alignment horizontal="center" vertical="center" wrapText="1"/>
    </x:xf>
    <x:xf numFmtId="0" fontId="8" fillId="9" borderId="5" xfId="0" applyFont="1" applyFill="1" applyBorder="1" applyAlignment="1">
      <x:alignment vertical="center" wrapText="1"/>
    </x:xf>
    <x:xf numFmtId="0" fontId="9" fillId="3" borderId="5" xfId="0" applyFont="1" applyFill="1" applyBorder="1" applyAlignment="1">
      <x:alignment horizontal="center" vertical="center"/>
    </x:xf>
    <x:xf numFmtId="0" fontId="9" fillId="5" borderId="6" xfId="0" applyFont="1" applyFill="1" applyBorder="1" applyAlignment="1">
      <x:alignment horizontal="center" vertical="center"/>
    </x:xf>
    <x:xf numFmtId="0" fontId="8" fillId="8" borderId="4" xfId="0" applyFont="1" applyFill="1" applyBorder="1" applyAlignment="1">
      <x:alignment horizontal="center" vertical="center" wrapText="1"/>
    </x:xf>
    <x:xf numFmtId="0" fontId="8" fillId="8" borderId="5" xfId="0" applyFont="1" applyFill="1" applyBorder="1" applyAlignment="1">
      <x:alignment horizontal="center" vertical="center" wrapText="1"/>
    </x:xf>
    <x:xf numFmtId="0" fontId="8" fillId="8" borderId="5" xfId="0" applyFont="1" applyFill="1" applyBorder="1" applyAlignment="1">
      <x:alignment vertical="center" wrapText="1"/>
    </x:xf>
    <x:xf numFmtId="0" fontId="8" fillId="8" borderId="7" xfId="0" applyFont="1" applyFill="1" applyBorder="1" applyAlignment="1">
      <x:alignment horizontal="center" vertical="center" wrapText="1"/>
    </x:xf>
    <x:xf numFmtId="0" fontId="8" fillId="8" borderId="8" xfId="0" applyFont="1" applyFill="1" applyBorder="1" applyAlignment="1">
      <x:alignment horizontal="center" vertical="center" wrapText="1"/>
    </x:xf>
    <x:xf numFmtId="0" fontId="8" fillId="8" borderId="8" xfId="0" applyFont="1" applyFill="1" applyBorder="1" applyAlignment="1">
      <x:alignment vertical="center" wrapText="1"/>
    </x:xf>
    <x:xf numFmtId="0" fontId="9" fillId="3" borderId="8" xfId="0" applyFont="1" applyFill="1" applyBorder="1" applyAlignment="1">
      <x:alignment horizontal="center" vertical="center"/>
    </x:xf>
    <x:xf numFmtId="0" fontId="9" fillId="5" borderId="9" xfId="0" applyFont="1" applyFill="1" applyBorder="1" applyAlignment="1">
      <x:alignment horizontal="center" vertical="center"/>
    </x:xf>
    <x:xf numFmtId="0" fontId="4" fillId="4" borderId="1" xfId="0" applyFont="1" applyFill="1" applyBorder="1" applyAlignment="1">
      <x:alignment vertical="top" wrapText="1"/>
    </x:xf>
    <x:xf numFmtId="0" fontId="4" fillId="4" borderId="2" xfId="0" applyFont="1" applyFill="1" applyBorder="1" applyAlignment="1">
      <x:alignment vertical="top" wrapText="1"/>
    </x:xf>
    <x:xf numFmtId="0" fontId="4" fillId="4" borderId="3" xfId="0" applyFont="1" applyFill="1" applyBorder="1" applyAlignment="1">
      <x:alignment vertical="top" wrapText="1"/>
    </x:xf>
    <x:xf numFmtId="0" fontId="5" fillId="0" borderId="4" xfId="0" applyFont="1" applyBorder="1" applyAlignment="1">
      <x:alignment vertical="top" wrapText="1"/>
    </x:xf>
    <x:xf numFmtId="0" fontId="3" fillId="0" borderId="5" xfId="0" applyFont="1" applyBorder="1" applyAlignment="1">
      <x:alignment vertical="top" wrapText="1"/>
    </x:xf>
    <x:xf numFmtId="0" fontId="3" fillId="0" borderId="6" xfId="0" applyFont="1" applyBorder="1" applyAlignment="1">
      <x:alignment vertical="top" wrapText="1"/>
    </x:xf>
    <x:xf numFmtId="0" fontId="5" fillId="4" borderId="4" xfId="0" applyFont="1" applyFill="1" applyBorder="1" applyAlignment="1">
      <x:alignment vertical="top" wrapText="1"/>
    </x:xf>
    <x:xf numFmtId="0" fontId="4" fillId="4" borderId="5" xfId="0" applyFont="1" applyFill="1" applyBorder="1" applyAlignment="1">
      <x:alignment vertical="top" wrapText="1"/>
    </x:xf>
    <x:xf numFmtId="0" fontId="4" fillId="4" borderId="6" xfId="0" applyFont="1" applyFill="1" applyBorder="1" applyAlignment="1">
      <x:alignment vertical="top" wrapText="1"/>
    </x:xf>
    <x:xf numFmtId="0" fontId="3" fillId="0" borderId="4" xfId="0" applyFont="1" applyBorder="1" applyAlignment="1">
      <x:alignment vertical="top" wrapText="1"/>
    </x:xf>
    <x:xf numFmtId="0" fontId="5" fillId="8" borderId="1" xfId="0" applyFont="1" applyFill="1" applyBorder="1" applyAlignment="1">
      <x:alignment wrapText="1"/>
    </x:xf>
    <x:xf numFmtId="0" fontId="3" fillId="3" borderId="3" xfId="0" applyFont="1" applyFill="1" applyBorder="1" applyAlignment="1">
      <x:alignment wrapText="1"/>
    </x:xf>
    <x:xf numFmtId="0" fontId="5" fillId="8" borderId="4" xfId="0" applyFont="1" applyFill="1" applyBorder="1" applyAlignment="1">
      <x:alignment wrapText="1"/>
    </x:xf>
    <x:xf numFmtId="0" fontId="3" fillId="3" borderId="6" xfId="0" applyFont="1" applyFill="1" applyBorder="1" applyAlignment="1">
      <x:alignment wrapText="1"/>
    </x:xf>
    <x:xf numFmtId="0" fontId="5" fillId="8" borderId="7" xfId="0" applyFont="1" applyFill="1" applyBorder="1" applyAlignment="1">
      <x:alignment wrapText="1"/>
    </x:xf>
    <x:xf numFmtId="0" fontId="3" fillId="3" borderId="9" xfId="0" applyFont="1" applyFill="1" applyBorder="1" applyAlignment="1">
      <x:alignment wrapText="1"/>
    </x:xf>
    <x:xf numFmtId="0" fontId="4" fillId="4" borderId="1" xfId="0" applyFont="1" applyFill="1" applyBorder="1"/>
    <x:xf numFmtId="0" fontId="4" fillId="4" borderId="3" xfId="0" applyFont="1" applyFill="1" applyBorder="1"/>
    <x:xf numFmtId="0" fontId="1" fillId="2" borderId="0" xfId="0" applyFont="1" applyFill="1" applyAlignment="1">
      <x:alignment vertical="center"/>
    </x:xf>
    <x:xf numFmtId="0" fontId="2" fillId="3" borderId="0" xfId="0" applyFont="1" applyFill="1" applyAlignment="1">
      <x:alignment vertical="center"/>
    </x:xf>
    <x:xf numFmtId="0" fontId="6" fillId="6" borderId="0" xfId="0" applyFont="1" applyFill="1"/>
    <x:xf numFmtId="0" fontId="3" fillId="0" borderId="0" xfId="0" applyFont="1" applyAlignment="1">
      <x:alignment vertical="center" wrapText="1"/>
    </x:xf>
    <x:xf numFmtId="0" fontId="4" fillId="4" borderId="0" xfId="0" applyFont="1" applyFill="1"/>
    <x:xf numFmtId="0" fontId="7" fillId="7" borderId="0" xfId="0" applyFont="1" applyFill="1" applyAlignment="1">
      <x:alignment vertical="center" wrapText="1"/>
    </x:xf>
    <x:xf numFmtId="0" fontId="6" fillId="6" borderId="7" xfId="0" applyFont="1" applyFill="1" applyBorder="1" applyAlignment="1">
      <x:alignment vertical="top" wrapText="1"/>
    </x:xf>
    <x:xf numFmtId="0" fontId="6" fillId="6" borderId="8" xfId="0" applyFont="1" applyFill="1" applyBorder="1" applyAlignment="1">
      <x:alignment vertical="top" wrapText="1"/>
    </x:xf>
    <x:xf numFmtId="0" fontId="6" fillId="6" borderId="9" xfId="0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0" fillId="12" borderId="0" xfId="0" applyNumberFormat="1" applyFont="1" applyFill="1" applyBorder="1"/>
    <x:xf numFmtId="0" fontId="12" fillId="12" borderId="0" xfId="0" applyNumberFormat="1" applyFont="1" applyFill="1" applyBorder="1"/>
    <x:xf numFmtId="0" fontId="12" fillId="12" borderId="0" xfId="0" applyNumberFormat="1" applyFont="1" applyFill="1" applyBorder="1" applyAlignment="1">
      <x:alignment wrapText="1"/>
    </x:xf>
    <x:xf numFmtId="0" fontId="0" fillId="13" borderId="0" xfId="0" applyNumberFormat="1" applyFont="1" applyFill="1" applyBorder="1"/>
    <x:xf numFmtId="0" fontId="0" fillId="13" borderId="0" xfId="0" applyNumberFormat="1" applyFont="1" applyFill="1" applyBorder="1" applyAlignment="1">
      <x:alignment wrapText="1"/>
    </x:xf>
    <x:xf numFmtId="0" fontId="10" fillId="10" borderId="1" xfId="0" applyNumberFormat="1" applyFont="1" applyFill="1" applyBorder="1"/>
    <x:xf numFmtId="0" fontId="10" fillId="10" borderId="3" xfId="0" applyNumberFormat="1" applyFont="1" applyFill="1" applyBorder="1"/>
    <x:xf numFmtId="0" fontId="12" fillId="12" borderId="4" xfId="0" applyNumberFormat="1" applyFont="1" applyFill="1" applyBorder="1" applyAlignment="1">
      <x:alignment wrapText="1"/>
    </x:xf>
    <x:xf numFmtId="0" fontId="0" fillId="13" borderId="6" xfId="0" applyNumberFormat="1" applyFont="1" applyFill="1" applyBorder="1" applyAlignment="1">
      <x:alignment wrapText="1"/>
    </x:xf>
    <x:xf numFmtId="0" fontId="12" fillId="12" borderId="7" xfId="0" applyNumberFormat="1" applyFont="1" applyFill="1" applyBorder="1" applyAlignment="1">
      <x:alignment wrapText="1"/>
    </x:xf>
    <x:xf numFmtId="0" fontId="0" fillId="13" borderId="9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7A4E00"/>
      </x:font>
      <x:fill>
        <x:patternFill>
          <x:bgColor rgb="FFFFF7D6"/>
        </x:patternFill>
      </x:fill>
    </x:dxf>
    <x:dxf>
      <x:font>
        <x:b/>
        <x:color rgb="FF176B36"/>
      </x:font>
      <x:fill>
        <x:patternFill>
          <x:bgColor rgb="FFEAF7ED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006652f7f64ddc" /><Relationship Type="http://schemas.openxmlformats.org/officeDocument/2006/relationships/theme" Target="/xl/theme/theme1.xml" Id="R435e56cf6fef4ad2" /><Relationship Type="http://schemas.openxmlformats.org/officeDocument/2006/relationships/sharedStrings" Target="/xl/sharedStrings.xml" Id="Rd8937fe483574230" /><Relationship Type="http://schemas.openxmlformats.org/officeDocument/2006/relationships/worksheet" Target="/xl/worksheets/sheet1.xml" Id="R4482799e9dc74e8c" /><Relationship Type="http://schemas.openxmlformats.org/officeDocument/2006/relationships/worksheet" Target="/xl/worksheets/sheet2.xml" Id="R5ecab8ae02f043bf" /><Relationship Type="http://schemas.openxmlformats.org/officeDocument/2006/relationships/worksheet" Target="/xl/worksheets/sheet3.xml" Id="R804d29d771fe4f6e" /><Relationship Type="http://schemas.openxmlformats.org/officeDocument/2006/relationships/worksheet" Target="/xl/worksheets/sheet4.xml" Id="R38524edf50a54ca9" /><Relationship Type="http://schemas.openxmlformats.org/officeDocument/2006/relationships/worksheet" Target="/xl/worksheets/sheet5.xml" Id="R2f4acc9ef5a14dd3" /><Relationship Type="http://schemas.openxmlformats.org/officeDocument/2006/relationships/worksheet" Target="/xl/worksheets/sheet6.xml" Id="R751d49d32a824e44" /><Relationship Type="http://schemas.openxmlformats.org/officeDocument/2006/relationships/worksheet" Target="/xl/worksheets/sheet7.xml" Id="Rdba6be409cce4817" /></Relationships>
</file>

<file path=xl/tables/table1.xml><?xml version="1.0" encoding="utf-8"?>
<x:table xmlns:x="http://schemas.openxmlformats.org/spreadsheetml/2006/main" id="1" name="RoundBReviewTable" displayName="RoundBReviewTable" ref="A4:H267" totalsRowShown="0">
  <x:autoFilter ref="A4:H267"/>
  <x:tableColumns count="8">
    <x:tableColumn id="1" name="Judgment #"/>
    <x:tableColumn id="2" name="Review ID"/>
    <x:tableColumn id="3" name="Input Text"/>
    <x:tableColumn id="4" name="Highlighted Span"/>
    <x:tableColumn id="5" name="Candidate Label (not rank)"/>
    <x:tableColumn id="6" name="Candidate Surface"/>
    <x:tableColumn id="7" name="Acceptability"/>
    <x:tableColumn id="8" name="Completion"/>
  </x:tableColumns>
  <x:tableStyleInfo name="TableStyleMedium2" showFirstColumn="0" showLastColumn="0" showRowStripes="0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923704f3f3c48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24" customWidth="1"/>
    <x:col min="2" max="2" width="14" customWidth="1"/>
    <x:col min="3" max="3" width="38" customWidth="1"/>
    <x:col min="4" max="4" width="46" customWidth="1"/>
    <x:col min="5" max="8" width="15" customWidth="1"/>
  </x:cols>
  <x:sheetData>
    <x:row r="1" ht="28" customHeight="1">
      <x:c r="A1" s="52" t="s">
        <x:v>0</x:v>
      </x:c>
      <x:c r="B1" s="52" t="s">
        <x:v>0</x:v>
      </x:c>
      <x:c r="C1" s="52" t="s">
        <x:v>0</x:v>
      </x:c>
      <x:c r="D1" s="52" t="s">
        <x:v>0</x:v>
      </x:c>
      <x:c r="E1" s="52" t="s">
        <x:v>0</x:v>
      </x:c>
      <x:c r="F1" s="52" t="s">
        <x:v>0</x:v>
      </x:c>
      <x:c r="G1" s="52" t="s">
        <x:v>0</x:v>
      </x:c>
      <x:c r="H1" s="52" t="s">
        <x:v>0</x:v>
      </x:c>
    </x:row>
    <x:row r="2" ht="28" customHeight="1">
      <x:c r="A2" s="52" t="s">
        <x:v>0</x:v>
      </x:c>
      <x:c r="B2" s="52" t="s">
        <x:v>0</x:v>
      </x:c>
      <x:c r="C2" s="52" t="s">
        <x:v>0</x:v>
      </x:c>
      <x:c r="D2" s="52" t="s">
        <x:v>0</x:v>
      </x:c>
      <x:c r="E2" s="52" t="s">
        <x:v>0</x:v>
      </x:c>
      <x:c r="F2" s="52" t="s">
        <x:v>0</x:v>
      </x:c>
      <x:c r="G2" s="52" t="s">
        <x:v>0</x:v>
      </x:c>
      <x:c r="H2" s="52" t="s">
        <x:v>0</x:v>
      </x:c>
    </x:row>
    <x:row r="3" ht="28" customHeight="1">
      <x:c r="A3" s="53" t="str">
        <x:v>Round B is LOCKED. Do not edit human decisions; continue only through governed R3B import and adjudication.</x:v>
      </x:c>
      <x:c r="B3" s="53" t="str">
        <x:v>Round B is LOCKED. Do not edit human decisions; continue only through governed R3B import and adjudication.</x:v>
      </x:c>
      <x:c r="C3" s="53" t="str">
        <x:v>Round B is LOCKED. Do not edit human decisions; continue only through governed R3B import and adjudication.</x:v>
      </x:c>
      <x:c r="D3" s="53" t="str">
        <x:v>Round B is LOCKED. Do not edit human decisions; continue only through governed R3B import and adjudication.</x:v>
      </x:c>
      <x:c r="E3" s="53" t="str">
        <x:v>Round B is LOCKED. Do not edit human decisions; continue only through governed R3B import and adjudication.</x:v>
      </x:c>
      <x:c r="F3" s="53" t="str">
        <x:v>Round B is LOCKED. Do not edit human decisions; continue only through governed R3B import and adjudication.</x:v>
      </x:c>
      <x:c r="G3" s="53" t="str">
        <x:v>Round B is LOCKED. Do not edit human decisions; continue only through governed R3B import and adjudication.</x:v>
      </x:c>
      <x:c r="H3" s="53" t="str">
        <x:v>Round B is LOCKED. Do not edit human decisions; continue only through governed R3B import and adjudication.</x:v>
      </x:c>
    </x:row>
    <x:row r="4" ht="14.75">
      <x:c r="A4" s="1"/>
      <x:c r="B4" s="1"/>
      <x:c r="C4" s="1"/>
      <x:c r="D4" s="1"/>
      <x:c r="E4" s="1"/>
      <x:c r="F4" s="1"/>
      <x:c r="G4" s="1"/>
      <x:c r="H4" s="1"/>
    </x:row>
    <x:row r="5" ht="14.75">
      <x:c r="A5" s="2" t="s">
        <x:v>1</x:v>
      </x:c>
      <x:c r="B5" s="2" t="s">
        <x:v>2</x:v>
      </x:c>
      <x:c r="C5" s="2" t="s">
        <x:v>3</x:v>
      </x:c>
      <x:c r="D5" s="2" t="s">
        <x:v>4</x:v>
      </x:c>
      <x:c r="E5" s="1"/>
      <x:c r="F5" s="1"/>
      <x:c r="G5" s="1"/>
      <x:c r="H5" s="1"/>
    </x:row>
    <x:row r="6" ht="14.75">
      <x:c r="A6" s="3" t="s">
        <x:v>5</x:v>
      </x:c>
      <x:c r="B6" s="4" t="n">
        <x:f>COUNTA('Round B Review'!$B$5:$B$267)</x:f>
        <x:v>263</x:v>
      </x:c>
      <x:c r="C6" s="5" t="s">
        <x:v>6</x:v>
      </x:c>
      <x:c r="D6" s="6" t="s">
        <x:v>7</x:v>
      </x:c>
      <x:c r="E6" s="1"/>
      <x:c r="F6" s="1"/>
      <x:c r="G6" s="1"/>
      <x:c r="H6" s="1"/>
    </x:row>
    <x:row r="7" ht="14.75">
      <x:c r="A7" s="7" t="s">
        <x:v>8</x:v>
      </x:c>
      <x:c r="B7" s="8">
        <x:v>149</x:v>
      </x:c>
      <x:c r="C7" s="9" t="s">
        <x:v>9</x:v>
      </x:c>
      <x:c r="D7" s="10" t="s">
        <x:v>10</x:v>
      </x:c>
      <x:c r="E7" s="1"/>
      <x:c r="F7" s="1"/>
      <x:c r="G7" s="1"/>
      <x:c r="H7" s="1"/>
    </x:row>
    <x:row r="8" ht="14.75">
      <x:c r="A8" s="7" t="s">
        <x:v>11</x:v>
      </x:c>
      <x:c r="B8" s="8" t="n">
        <x:f>COUNTIF('Round B Review'!$H$5:$H$267,"COMPLETE")</x:f>
        <x:v>263</x:v>
      </x:c>
      <x:c r="C8" s="9" t="s">
        <x:v>12</x:v>
      </x:c>
      <x:c r="D8" s="10" t="s">
        <x:v>13</x:v>
      </x:c>
      <x:c r="E8" s="1"/>
      <x:c r="F8" s="1"/>
      <x:c r="G8" s="1"/>
      <x:c r="H8" s="1"/>
    </x:row>
    <x:row r="9" ht="29.5">
      <x:c r="A9" s="7" t="s">
        <x:v>14</x:v>
      </x:c>
      <x:c r="B9" s="8" t="n">
        <x:f>COUNTIF('Round B Review'!$H$5:$H$267,"PENDING")</x:f>
        <x:v>0</x:v>
      </x:c>
      <x:c r="C9" s="9" t="s">
        <x:v>15</x:v>
      </x:c>
      <x:c r="D9" s="10" t="s">
        <x:v>16</x:v>
      </x:c>
      <x:c r="E9" s="1"/>
      <x:c r="F9" s="1"/>
      <x:c r="G9" s="1"/>
      <x:c r="H9" s="1"/>
    </x:row>
    <x:row r="10" ht="14.75">
      <x:c r="A10" s="11" t="s">
        <x:v>17</x:v>
      </x:c>
      <x:c r="B10" s="12" t="n">
        <x:f>IF(B6=0,0,B8/B6)</x:f>
        <x:v>1</x:v>
      </x:c>
      <x:c r="C10" s="13" t="s">
        <x:v>18</x:v>
      </x:c>
      <x:c r="D10" s="14" t="s">
        <x:v>19</x:v>
      </x:c>
      <x:c r="E10" s="1"/>
      <x:c r="F10" s="1"/>
      <x:c r="G10" s="1"/>
      <x:c r="H10" s="1"/>
    </x:row>
    <x:row r="11" ht="14.75">
      <x:c r="A11" s="1"/>
      <x:c r="B11" s="1"/>
      <x:c r="C11" s="1"/>
      <x:c r="D11" s="1"/>
      <x:c r="E11" s="1"/>
      <x:c r="F11" s="1"/>
      <x:c r="G11" s="1"/>
      <x:c r="H11" s="1"/>
    </x:row>
    <x:row r="12" ht="14.75">
      <x:c r="A12" s="54" t="str">
        <x:v>Completed review workflow / सम्पन्न समीक्षा प्रक्रिया</x:v>
      </x:c>
      <x:c r="B12" s="54" t="str">
        <x:v>Completed review workflow / सम्पन्न समीक्षा प्रक्रिया</x:v>
      </x:c>
      <x:c r="C12" s="54" t="str">
        <x:v>Completed review workflow / सम्पन्न समीक्षा प्रक्रिया</x:v>
      </x:c>
      <x:c r="D12" s="54" t="str">
        <x:v>Completed review workflow / सम्पन्न समीक्षा प्रक्रिया</x:v>
      </x:c>
      <x:c r="E12" s="54" t="str">
        <x:v>Completed review workflow / सम्पन्न समीक्षा प्रक्रिया</x:v>
      </x:c>
      <x:c r="F12" s="54" t="str">
        <x:v>Completed review workflow / सम्पन्न समीक्षा प्रक्रिया</x:v>
      </x:c>
      <x:c r="G12" s="54" t="str">
        <x:v>Completed review workflow / सम्पन्न समीक्षा प्रक्रिया</x:v>
      </x:c>
      <x:c r="H12" s="54" t="str">
        <x:v>Completed review workflow / सम्पन्न समीक्षा प्रक्रिया</x:v>
      </x:c>
    </x:row>
    <x:row r="13" ht="27" customHeight="1">
      <x:c r="A13" s="55" t="s">
        <x:v>20</x:v>
      </x:c>
      <x:c r="B13" s="55"/>
      <x:c r="C13" s="55"/>
      <x:c r="D13" s="55"/>
      <x:c r="E13" s="55"/>
      <x:c r="F13" s="55"/>
      <x:c r="G13" s="55"/>
      <x:c r="H13" s="55"/>
    </x:row>
    <x:row r="14" ht="27" customHeight="1">
      <x:c r="A14" s="55" t="s">
        <x:v>21</x:v>
      </x:c>
      <x:c r="B14" s="55"/>
      <x:c r="C14" s="55"/>
      <x:c r="D14" s="55"/>
      <x:c r="E14" s="55"/>
      <x:c r="F14" s="55"/>
      <x:c r="G14" s="55"/>
      <x:c r="H14" s="55"/>
    </x:row>
    <x:row r="15" ht="27" customHeight="1">
      <x:c r="A15" s="55" t="s">
        <x:v>22</x:v>
      </x:c>
      <x:c r="B15" s="55"/>
      <x:c r="C15" s="55"/>
      <x:c r="D15" s="55"/>
      <x:c r="E15" s="55"/>
      <x:c r="F15" s="55"/>
      <x:c r="G15" s="55"/>
      <x:c r="H15" s="55"/>
    </x:row>
    <x:row r="16" ht="27" customHeight="1">
      <x:c r="A16" s="55" t="s">
        <x:v>23</x:v>
      </x:c>
      <x:c r="B16" s="55"/>
      <x:c r="C16" s="55"/>
      <x:c r="D16" s="55"/>
      <x:c r="E16" s="55"/>
      <x:c r="F16" s="55"/>
      <x:c r="G16" s="55"/>
      <x:c r="H16" s="55"/>
    </x:row>
    <x:row r="17" ht="27" customHeight="1">
      <x:c r="A17" s="55" t="s">
        <x:v>24</x:v>
      </x:c>
      <x:c r="B17" s="55"/>
      <x:c r="C17" s="55"/>
      <x:c r="D17" s="55"/>
      <x:c r="E17" s="55"/>
      <x:c r="F17" s="55"/>
      <x:c r="G17" s="55"/>
      <x:c r="H17" s="55"/>
    </x:row>
    <x:row r="18" ht="27" customHeight="1">
      <x:c r="A18" s="55" t="s">
        <x:v>25</x:v>
      </x:c>
      <x:c r="B18" s="55"/>
      <x:c r="C18" s="55"/>
      <x:c r="D18" s="55"/>
      <x:c r="E18" s="55"/>
      <x:c r="F18" s="55"/>
      <x:c r="G18" s="55"/>
      <x:c r="H18" s="55"/>
    </x:row>
    <x:row r="19" ht="27" customHeight="1">
      <x:c r="A19" s="55" t="str">
        <x:v>7. Round B responses were returned and locked; mapping/import may begin only from this locked state.</x:v>
      </x:c>
      <x:c r="B19" s="55" t="str">
        <x:v>7. Round B responses were returned and locked; mapping/import may begin only from this locked state.</x:v>
      </x:c>
      <x:c r="C19" s="55" t="str">
        <x:v>7. Round B responses were returned and locked; mapping/import may begin only from this locked state.</x:v>
      </x:c>
      <x:c r="D19" s="55" t="str">
        <x:v>7. Round B responses were returned and locked; mapping/import may begin only from this locked state.</x:v>
      </x:c>
      <x:c r="E19" s="55" t="str">
        <x:v>7. Round B responses were returned and locked; mapping/import may begin only from this locked state.</x:v>
      </x:c>
      <x:c r="F19" s="55" t="str">
        <x:v>7. Round B responses were returned and locked; mapping/import may begin only from this locked state.</x:v>
      </x:c>
      <x:c r="G19" s="55" t="str">
        <x:v>7. Round B responses were returned and locked; mapping/import may begin only from this locked state.</x:v>
      </x:c>
      <x:c r="H19" s="55" t="str">
        <x:v>7. Round B responses were returned and locked; mapping/import may begin only from this locked state.</x:v>
      </x:c>
    </x:row>
    <x:row r="20" ht="14.75">
      <x:c r="A20" s="1"/>
      <x:c r="B20" s="1"/>
      <x:c r="C20" s="1"/>
      <x:c r="D20" s="1"/>
      <x:c r="E20" s="1"/>
      <x:c r="F20" s="1"/>
      <x:c r="G20" s="1"/>
      <x:c r="H20" s="1"/>
    </x:row>
    <x:row r="21" ht="14.75">
      <x:c r="A21" s="56" t="s">
        <x:v>26</x:v>
      </x:c>
      <x:c r="B21" s="56" t="s">
        <x:v>26</x:v>
      </x:c>
      <x:c r="C21" s="56" t="s">
        <x:v>26</x:v>
      </x:c>
      <x:c r="D21" s="56" t="s">
        <x:v>26</x:v>
      </x:c>
      <x:c r="E21" s="56" t="s">
        <x:v>26</x:v>
      </x:c>
      <x:c r="F21" s="56" t="s">
        <x:v>26</x:v>
      </x:c>
      <x:c r="G21" s="56" t="s">
        <x:v>26</x:v>
      </x:c>
      <x:c r="H21" s="56" t="s">
        <x:v>26</x:v>
      </x:c>
    </x:row>
    <x:row r="22" ht="31" customHeight="1">
      <x:c r="A22" s="55" t="s">
        <x:v>27</x:v>
      </x:c>
      <x:c r="B22" s="55"/>
      <x:c r="C22" s="55"/>
      <x:c r="D22" s="55"/>
      <x:c r="E22" s="55"/>
      <x:c r="F22" s="55"/>
      <x:c r="G22" s="55"/>
      <x:c r="H22" s="55"/>
    </x:row>
    <x:row r="23" ht="31" customHeight="1">
      <x:c r="A23" s="55" t="s">
        <x:v>28</x:v>
      </x:c>
      <x:c r="B23" s="55"/>
      <x:c r="C23" s="55"/>
      <x:c r="D23" s="55"/>
      <x:c r="E23" s="55"/>
      <x:c r="F23" s="55"/>
      <x:c r="G23" s="55"/>
      <x:c r="H23" s="55"/>
    </x:row>
    <x:row r="24" ht="31" customHeight="1">
      <x:c r="A24" s="55" t="s">
        <x:v>29</x:v>
      </x:c>
      <x:c r="B24" s="55"/>
      <x:c r="C24" s="55"/>
      <x:c r="D24" s="55"/>
      <x:c r="E24" s="55"/>
      <x:c r="F24" s="55"/>
      <x:c r="G24" s="55"/>
      <x:c r="H24" s="55"/>
    </x:row>
    <x:row r="25" ht="14.75">
      <x:c r="A25" s="1"/>
      <x:c r="B25" s="1"/>
      <x:c r="C25" s="1"/>
      <x:c r="D25" s="1"/>
      <x:c r="E25" s="1"/>
      <x:c r="F25" s="1"/>
      <x:c r="G25" s="1"/>
      <x:c r="H25" s="1"/>
    </x:row>
    <x:row r="26" ht="36" customHeight="1">
      <x:c r="A26" s="57" t="s">
        <x:v>30</x:v>
      </x:c>
      <x:c r="B26" s="57" t="s">
        <x:v>30</x:v>
      </x:c>
      <x:c r="C26" s="57" t="s">
        <x:v>30</x:v>
      </x:c>
      <x:c r="D26" s="57" t="s">
        <x:v>30</x:v>
      </x:c>
      <x:c r="E26" s="57" t="s">
        <x:v>30</x:v>
      </x:c>
      <x:c r="F26" s="57" t="s">
        <x:v>30</x:v>
      </x:c>
      <x:c r="G26" s="57" t="s">
        <x:v>30</x:v>
      </x:c>
      <x:c r="H26" s="57" t="s">
        <x:v>30</x:v>
      </x:c>
    </x:row>
    <x:row r="27" ht="36" customHeight="1">
      <x:c r="A27" s="57" t="s">
        <x:v>30</x:v>
      </x:c>
      <x:c r="B27" s="57" t="s">
        <x:v>30</x:v>
      </x:c>
      <x:c r="C27" s="57" t="s">
        <x:v>30</x:v>
      </x:c>
      <x:c r="D27" s="57" t="s">
        <x:v>30</x:v>
      </x:c>
      <x:c r="E27" s="57" t="s">
        <x:v>30</x:v>
      </x:c>
      <x:c r="F27" s="57" t="s">
        <x:v>30</x:v>
      </x:c>
      <x:c r="G27" s="57" t="s">
        <x:v>30</x:v>
      </x:c>
      <x:c r="H27" s="57" t="s">
        <x:v>30</x:v>
      </x:c>
    </x:row>
  </x:sheetData>
  <x:mergeCells>
    <x:mergeCell ref="A21:H21"/>
    <x:mergeCell ref="A22:H22"/>
    <x:mergeCell ref="A23:H23"/>
    <x:mergeCell ref="A24:H24"/>
    <x:mergeCell ref="A26:H27"/>
    <x:mergeCell ref="A15:H15"/>
    <x:mergeCell ref="A16:H16"/>
    <x:mergeCell ref="A17:H17"/>
    <x:mergeCell ref="A18:H18"/>
    <x:mergeCell ref="A19:H19"/>
    <x:mergeCell ref="A1:H2"/>
    <x:mergeCell ref="A3:H3"/>
    <x:mergeCell ref="A12:H12"/>
    <x:mergeCell ref="A13:H13"/>
    <x:mergeCell ref="A14:H1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.625" customWidth="1"/>
    <x:col min="2" max="2" width="17.7890625" customWidth="1"/>
    <x:col min="3" max="3" width="10.75" customWidth="1"/>
    <x:col min="4" max="4" width="10.4140625" customWidth="1"/>
    <x:col min="5" max="5" width="15.625" customWidth="1"/>
    <x:col min="6" max="6" width="11.75" customWidth="1"/>
    <x:col min="7" max="7" width="21" customWidth="1"/>
    <x:col min="8" max="8" width="10.45703125" customWidth="1"/>
  </x:cols>
  <x:sheetData>
    <x:row r="1" ht="28" customHeight="1">
      <x:c r="A1" s="52" t="s">
        <x:v>31</x:v>
      </x:c>
      <x:c r="B1" s="52" t="s">
        <x:v>31</x:v>
      </x:c>
      <x:c r="C1" s="52" t="s">
        <x:v>31</x:v>
      </x:c>
      <x:c r="D1" s="52" t="s">
        <x:v>31</x:v>
      </x:c>
      <x:c r="E1" s="52" t="s">
        <x:v>31</x:v>
      </x:c>
      <x:c r="F1" s="52" t="s">
        <x:v>31</x:v>
      </x:c>
      <x:c r="G1" s="52" t="s">
        <x:v>31</x:v>
      </x:c>
      <x:c r="H1" s="52" t="s">
        <x:v>31</x:v>
      </x:c>
    </x:row>
    <x:row r="2" ht="28" customHeight="1">
      <x:c r="A2" s="52" t="s">
        <x:v>31</x:v>
      </x:c>
      <x:c r="B2" s="52" t="s">
        <x:v>31</x:v>
      </x:c>
      <x:c r="C2" s="52" t="s">
        <x:v>31</x:v>
      </x:c>
      <x:c r="D2" s="52" t="s">
        <x:v>31</x:v>
      </x:c>
      <x:c r="E2" s="52" t="s">
        <x:v>31</x:v>
      </x:c>
      <x:c r="F2" s="52" t="s">
        <x:v>31</x:v>
      </x:c>
      <x:c r="G2" s="52" t="s">
        <x:v>31</x:v>
      </x:c>
      <x:c r="H2" s="52" t="s">
        <x:v>31</x:v>
      </x:c>
    </x:row>
    <x:row r="3" ht="28" customHeight="1">
      <x:c r="A3" s="53" t="s">
        <x:v>32</x:v>
      </x:c>
      <x:c r="B3" s="53" t="s">
        <x:v>32</x:v>
      </x:c>
      <x:c r="C3" s="53" t="s">
        <x:v>32</x:v>
      </x:c>
      <x:c r="D3" s="53" t="s">
        <x:v>32</x:v>
      </x:c>
      <x:c r="E3" s="53" t="s">
        <x:v>32</x:v>
      </x:c>
      <x:c r="F3" s="53" t="s">
        <x:v>32</x:v>
      </x:c>
      <x:c r="G3" s="53" t="s">
        <x:v>32</x:v>
      </x:c>
      <x:c r="H3" s="53" t="s">
        <x:v>32</x:v>
      </x:c>
    </x:row>
    <x:row r="4" ht="42" customHeight="1">
      <x:c r="A4" s="15" t="s">
        <x:v>33</x:v>
      </x:c>
      <x:c r="B4" s="15" t="s">
        <x:v>34</x:v>
      </x:c>
      <x:c r="C4" s="15" t="s">
        <x:v>35</x:v>
      </x:c>
      <x:c r="D4" s="15" t="s">
        <x:v>36</x:v>
      </x:c>
      <x:c r="E4" s="15" t="s">
        <x:v>37</x:v>
      </x:c>
      <x:c r="F4" s="15" t="s">
        <x:v>38</x:v>
      </x:c>
      <x:c r="G4" s="15" t="s">
        <x:v>39</x:v>
      </x:c>
      <x:c r="H4" s="15" t="s">
        <x:v>40</x:v>
      </x:c>
    </x:row>
    <x:row r="5" ht="14.75">
      <x:c r="A5" s="16">
        <x:v>1</x:v>
      </x:c>
      <x:c r="B5" s="17" t="s">
        <x:v>41</x:v>
      </x:c>
      <x:c r="C5" s="18" t="s">
        <x:v>42</x:v>
      </x:c>
      <x:c r="D5" s="18" t="s">
        <x:v>42</x:v>
      </x:c>
      <x:c r="E5" s="17" t="s">
        <x:v>43</x:v>
      </x:c>
      <x:c r="F5" s="18" t="s">
        <x:v>42</x:v>
      </x:c>
      <x:c r="G5" s="19" t="s">
        <x:v>44</x:v>
      </x:c>
      <x:c r="H5" s="20" t="str">
        <x:f t="shared" ref="H5:H68" si="0">IF(G5&lt;&gt;"","COMPLETE","PENDING")</x:f>
        <x:v>COMPLETE</x:v>
      </x:c>
    </x:row>
    <x:row r="6" ht="14.75">
      <x:c r="A6" s="21">
        <x:v>2</x:v>
      </x:c>
      <x:c r="B6" s="22" t="s">
        <x:v>45</x:v>
      </x:c>
      <x:c r="C6" s="23" t="s">
        <x:v>46</x:v>
      </x:c>
      <x:c r="D6" s="23" t="s">
        <x:v>46</x:v>
      </x:c>
      <x:c r="E6" s="22" t="s">
        <x:v>43</x:v>
      </x:c>
      <x:c r="F6" s="23" t="s">
        <x:v>46</x:v>
      </x:c>
      <x:c r="G6" s="24" t="s">
        <x:v>47</x:v>
      </x:c>
      <x:c r="H6" s="25" t="str">
        <x:f t="shared" si="0">IF(G6&lt;&gt;"","COMPLETE","PENDING")</x:f>
        <x:v>COMPLETE</x:v>
      </x:c>
    </x:row>
    <x:row r="7" ht="14.75">
      <x:c r="A7" s="26">
        <x:v>3</x:v>
      </x:c>
      <x:c r="B7" s="27" t="s">
        <x:v>48</x:v>
      </x:c>
      <x:c r="C7" s="28" t="s">
        <x:v>49</x:v>
      </x:c>
      <x:c r="D7" s="28" t="s">
        <x:v>49</x:v>
      </x:c>
      <x:c r="E7" s="27" t="s">
        <x:v>43</x:v>
      </x:c>
      <x:c r="F7" s="28" t="s">
        <x:v>50</x:v>
      </x:c>
      <x:c r="G7" s="24" t="s">
        <x:v>44</x:v>
      </x:c>
      <x:c r="H7" s="25" t="str">
        <x:f t="shared" si="0">IF(G7&lt;&gt;"","COMPLETE","PENDING")</x:f>
        <x:v>COMPLETE</x:v>
      </x:c>
    </x:row>
    <x:row r="8" ht="14.75">
      <x:c r="A8" s="26">
        <x:v>4</x:v>
      </x:c>
      <x:c r="B8" s="27" t="s">
        <x:v>48</x:v>
      </x:c>
      <x:c r="C8" s="28" t="s">
        <x:v>49</x:v>
      </x:c>
      <x:c r="D8" s="28" t="s">
        <x:v>49</x:v>
      </x:c>
      <x:c r="E8" s="27" t="s">
        <x:v>51</x:v>
      </x:c>
      <x:c r="F8" s="28" t="s">
        <x:v>49</x:v>
      </x:c>
      <x:c r="G8" s="24" t="s">
        <x:v>44</x:v>
      </x:c>
      <x:c r="H8" s="25" t="str">
        <x:f t="shared" si="0">IF(G8&lt;&gt;"","COMPLETE","PENDING")</x:f>
        <x:v>COMPLETE</x:v>
      </x:c>
    </x:row>
    <x:row r="9" ht="14.75">
      <x:c r="A9" s="21">
        <x:v>5</x:v>
      </x:c>
      <x:c r="B9" s="22" t="s">
        <x:v>52</x:v>
      </x:c>
      <x:c r="C9" s="23" t="s">
        <x:v>53</x:v>
      </x:c>
      <x:c r="D9" s="23" t="s">
        <x:v>53</x:v>
      </x:c>
      <x:c r="E9" s="22" t="s">
        <x:v>43</x:v>
      </x:c>
      <x:c r="F9" s="23" t="s">
        <x:v>53</x:v>
      </x:c>
      <x:c r="G9" s="24" t="s">
        <x:v>44</x:v>
      </x:c>
      <x:c r="H9" s="25" t="str">
        <x:f t="shared" si="0">IF(G9&lt;&gt;"","COMPLETE","PENDING")</x:f>
        <x:v>COMPLETE</x:v>
      </x:c>
    </x:row>
    <x:row r="10" ht="14.75">
      <x:c r="A10" s="21">
        <x:v>6</x:v>
      </x:c>
      <x:c r="B10" s="22" t="s">
        <x:v>52</x:v>
      </x:c>
      <x:c r="C10" s="23" t="s">
        <x:v>53</x:v>
      </x:c>
      <x:c r="D10" s="23" t="s">
        <x:v>53</x:v>
      </x:c>
      <x:c r="E10" s="22" t="s">
        <x:v>51</x:v>
      </x:c>
      <x:c r="F10" s="23" t="s">
        <x:v>54</x:v>
      </x:c>
      <x:c r="G10" s="24" t="s">
        <x:v>44</x:v>
      </x:c>
      <x:c r="H10" s="25" t="str">
        <x:f t="shared" si="0">IF(G10&lt;&gt;"","COMPLETE","PENDING")</x:f>
        <x:v>COMPLETE</x:v>
      </x:c>
    </x:row>
    <x:row r="11" ht="14.75">
      <x:c r="A11" s="26">
        <x:v>7</x:v>
      </x:c>
      <x:c r="B11" s="27" t="s">
        <x:v>55</x:v>
      </x:c>
      <x:c r="C11" s="28" t="s">
        <x:v>56</x:v>
      </x:c>
      <x:c r="D11" s="28" t="s">
        <x:v>56</x:v>
      </x:c>
      <x:c r="E11" s="27" t="s">
        <x:v>43</x:v>
      </x:c>
      <x:c r="F11" s="28" t="s">
        <x:v>56</x:v>
      </x:c>
      <x:c r="G11" s="24" t="s">
        <x:v>44</x:v>
      </x:c>
      <x:c r="H11" s="25" t="str">
        <x:f t="shared" si="0">IF(G11&lt;&gt;"","COMPLETE","PENDING")</x:f>
        <x:v>COMPLETE</x:v>
      </x:c>
    </x:row>
    <x:row r="12" ht="14.75">
      <x:c r="A12" s="21">
        <x:v>8</x:v>
      </x:c>
      <x:c r="B12" s="22" t="s">
        <x:v>57</x:v>
      </x:c>
      <x:c r="C12" s="23" t="s">
        <x:v>46</x:v>
      </x:c>
      <x:c r="D12" s="23" t="s">
        <x:v>46</x:v>
      </x:c>
      <x:c r="E12" s="22" t="s">
        <x:v>43</x:v>
      </x:c>
      <x:c r="F12" s="23" t="s">
        <x:v>46</x:v>
      </x:c>
      <x:c r="G12" s="24" t="s">
        <x:v>58</x:v>
      </x:c>
      <x:c r="H12" s="25" t="str">
        <x:f t="shared" si="0">IF(G12&lt;&gt;"","COMPLETE","PENDING")</x:f>
        <x:v>COMPLETE</x:v>
      </x:c>
    </x:row>
    <x:row r="13" ht="14.75">
      <x:c r="A13" s="26">
        <x:v>9</x:v>
      </x:c>
      <x:c r="B13" s="27" t="s">
        <x:v>59</x:v>
      </x:c>
      <x:c r="C13" s="28" t="s">
        <x:v>60</x:v>
      </x:c>
      <x:c r="D13" s="28" t="s">
        <x:v>60</x:v>
      </x:c>
      <x:c r="E13" s="27" t="s">
        <x:v>43</x:v>
      </x:c>
      <x:c r="F13" s="28" t="s">
        <x:v>60</x:v>
      </x:c>
      <x:c r="G13" s="24" t="s">
        <x:v>44</x:v>
      </x:c>
      <x:c r="H13" s="25" t="str">
        <x:f t="shared" si="0">IF(G13&lt;&gt;"","COMPLETE","PENDING")</x:f>
        <x:v>COMPLETE</x:v>
      </x:c>
    </x:row>
    <x:row r="14" ht="14.75">
      <x:c r="A14" s="26">
        <x:v>10</x:v>
      </x:c>
      <x:c r="B14" s="27" t="s">
        <x:v>59</x:v>
      </x:c>
      <x:c r="C14" s="28" t="s">
        <x:v>60</x:v>
      </x:c>
      <x:c r="D14" s="28" t="s">
        <x:v>60</x:v>
      </x:c>
      <x:c r="E14" s="27" t="s">
        <x:v>51</x:v>
      </x:c>
      <x:c r="F14" s="28" t="s">
        <x:v>61</x:v>
      </x:c>
      <x:c r="G14" s="24" t="s">
        <x:v>44</x:v>
      </x:c>
      <x:c r="H14" s="25" t="str">
        <x:f t="shared" si="0">IF(G14&lt;&gt;"","COMPLETE","PENDING")</x:f>
        <x:v>COMPLETE</x:v>
      </x:c>
    </x:row>
    <x:row r="15" ht="14.75">
      <x:c r="A15" s="21">
        <x:v>11</x:v>
      </x:c>
      <x:c r="B15" s="22" t="s">
        <x:v>62</x:v>
      </x:c>
      <x:c r="C15" s="23" t="s">
        <x:v>63</x:v>
      </x:c>
      <x:c r="D15" s="23" t="s">
        <x:v>63</x:v>
      </x:c>
      <x:c r="E15" s="22" t="s">
        <x:v>43</x:v>
      </x:c>
      <x:c r="F15" s="23" t="s">
        <x:v>63</x:v>
      </x:c>
      <x:c r="G15" s="24" t="s">
        <x:v>44</x:v>
      </x:c>
      <x:c r="H15" s="25" t="str">
        <x:f t="shared" si="0">IF(G15&lt;&gt;"","COMPLETE","PENDING")</x:f>
        <x:v>COMPLETE</x:v>
      </x:c>
    </x:row>
    <x:row r="16" ht="14.75">
      <x:c r="A16" s="26">
        <x:v>12</x:v>
      </x:c>
      <x:c r="B16" s="27" t="s">
        <x:v>64</x:v>
      </x:c>
      <x:c r="C16" s="28" t="s">
        <x:v>65</x:v>
      </x:c>
      <x:c r="D16" s="28" t="s">
        <x:v>65</x:v>
      </x:c>
      <x:c r="E16" s="27" t="s">
        <x:v>43</x:v>
      </x:c>
      <x:c r="F16" s="28" t="s">
        <x:v>65</x:v>
      </x:c>
      <x:c r="G16" s="24" t="s">
        <x:v>58</x:v>
      </x:c>
      <x:c r="H16" s="25" t="str">
        <x:f t="shared" si="0">IF(G16&lt;&gt;"","COMPLETE","PENDING")</x:f>
        <x:v>COMPLETE</x:v>
      </x:c>
    </x:row>
    <x:row r="17" ht="14.75">
      <x:c r="A17" s="21">
        <x:v>13</x:v>
      </x:c>
      <x:c r="B17" s="22" t="s">
        <x:v>66</x:v>
      </x:c>
      <x:c r="C17" s="23" t="s">
        <x:v>65</x:v>
      </x:c>
      <x:c r="D17" s="23" t="s">
        <x:v>65</x:v>
      </x:c>
      <x:c r="E17" s="22" t="s">
        <x:v>43</x:v>
      </x:c>
      <x:c r="F17" s="23" t="s">
        <x:v>65</x:v>
      </x:c>
      <x:c r="G17" s="24" t="s">
        <x:v>58</x:v>
      </x:c>
      <x:c r="H17" s="25" t="str">
        <x:f t="shared" si="0">IF(G17&lt;&gt;"","COMPLETE","PENDING")</x:f>
        <x:v>COMPLETE</x:v>
      </x:c>
    </x:row>
    <x:row r="18" ht="14.75">
      <x:c r="A18" s="26">
        <x:v>14</x:v>
      </x:c>
      <x:c r="B18" s="27" t="s">
        <x:v>67</x:v>
      </x:c>
      <x:c r="C18" s="28" t="s">
        <x:v>68</x:v>
      </x:c>
      <x:c r="D18" s="28" t="s">
        <x:v>68</x:v>
      </x:c>
      <x:c r="E18" s="27" t="s">
        <x:v>43</x:v>
      </x:c>
      <x:c r="F18" s="28" t="s">
        <x:v>68</x:v>
      </x:c>
      <x:c r="G18" s="24" t="s">
        <x:v>44</x:v>
      </x:c>
      <x:c r="H18" s="25" t="str">
        <x:f t="shared" si="0">IF(G18&lt;&gt;"","COMPLETE","PENDING")</x:f>
        <x:v>COMPLETE</x:v>
      </x:c>
    </x:row>
    <x:row r="19" ht="14.75">
      <x:c r="A19" s="21">
        <x:v>15</x:v>
      </x:c>
      <x:c r="B19" s="22" t="s">
        <x:v>69</x:v>
      </x:c>
      <x:c r="C19" s="23" t="s">
        <x:v>70</x:v>
      </x:c>
      <x:c r="D19" s="23" t="s">
        <x:v>70</x:v>
      </x:c>
      <x:c r="E19" s="22" t="s">
        <x:v>43</x:v>
      </x:c>
      <x:c r="F19" s="23" t="s">
        <x:v>70</x:v>
      </x:c>
      <x:c r="G19" s="24" t="s">
        <x:v>44</x:v>
      </x:c>
      <x:c r="H19" s="25" t="str">
        <x:f t="shared" si="0">IF(G19&lt;&gt;"","COMPLETE","PENDING")</x:f>
        <x:v>COMPLETE</x:v>
      </x:c>
    </x:row>
    <x:row r="20" ht="14.75">
      <x:c r="A20" s="21">
        <x:v>16</x:v>
      </x:c>
      <x:c r="B20" s="22" t="s">
        <x:v>69</x:v>
      </x:c>
      <x:c r="C20" s="23" t="s">
        <x:v>70</x:v>
      </x:c>
      <x:c r="D20" s="23" t="s">
        <x:v>70</x:v>
      </x:c>
      <x:c r="E20" s="22" t="s">
        <x:v>51</x:v>
      </x:c>
      <x:c r="F20" s="23" t="s">
        <x:v>71</x:v>
      </x:c>
      <x:c r="G20" s="24" t="s">
        <x:v>44</x:v>
      </x:c>
      <x:c r="H20" s="25" t="str">
        <x:f t="shared" si="0">IF(G20&lt;&gt;"","COMPLETE","PENDING")</x:f>
        <x:v>COMPLETE</x:v>
      </x:c>
    </x:row>
    <x:row r="21" ht="14.75">
      <x:c r="A21" s="26">
        <x:v>17</x:v>
      </x:c>
      <x:c r="B21" s="27" t="s">
        <x:v>72</x:v>
      </x:c>
      <x:c r="C21" s="28" t="s">
        <x:v>73</x:v>
      </x:c>
      <x:c r="D21" s="28" t="s">
        <x:v>73</x:v>
      </x:c>
      <x:c r="E21" s="27" t="s">
        <x:v>43</x:v>
      </x:c>
      <x:c r="F21" s="28" t="s">
        <x:v>73</x:v>
      </x:c>
      <x:c r="G21" s="24" t="s">
        <x:v>44</x:v>
      </x:c>
      <x:c r="H21" s="25" t="str">
        <x:f t="shared" si="0">IF(G21&lt;&gt;"","COMPLETE","PENDING")</x:f>
        <x:v>COMPLETE</x:v>
      </x:c>
    </x:row>
    <x:row r="22" ht="29.5">
      <x:c r="A22" s="21">
        <x:v>18</x:v>
      </x:c>
      <x:c r="B22" s="22" t="s">
        <x:v>74</x:v>
      </x:c>
      <x:c r="C22" s="23" t="s">
        <x:v>75</x:v>
      </x:c>
      <x:c r="D22" s="23" t="s">
        <x:v>75</x:v>
      </x:c>
      <x:c r="E22" s="22" t="s">
        <x:v>43</x:v>
      </x:c>
      <x:c r="F22" s="23" t="s">
        <x:v>76</x:v>
      </x:c>
      <x:c r="G22" s="24" t="s">
        <x:v>44</x:v>
      </x:c>
      <x:c r="H22" s="25" t="str">
        <x:f t="shared" si="0">IF(G22&lt;&gt;"","COMPLETE","PENDING")</x:f>
        <x:v>COMPLETE</x:v>
      </x:c>
    </x:row>
    <x:row r="23" ht="29.5">
      <x:c r="A23" s="21">
        <x:v>19</x:v>
      </x:c>
      <x:c r="B23" s="22" t="s">
        <x:v>74</x:v>
      </x:c>
      <x:c r="C23" s="23" t="s">
        <x:v>75</x:v>
      </x:c>
      <x:c r="D23" s="23" t="s">
        <x:v>75</x:v>
      </x:c>
      <x:c r="E23" s="22" t="s">
        <x:v>51</x:v>
      </x:c>
      <x:c r="F23" s="23" t="s">
        <x:v>75</x:v>
      </x:c>
      <x:c r="G23" s="24" t="s">
        <x:v>44</x:v>
      </x:c>
      <x:c r="H23" s="25" t="str">
        <x:f t="shared" si="0">IF(G23&lt;&gt;"","COMPLETE","PENDING")</x:f>
        <x:v>COMPLETE</x:v>
      </x:c>
    </x:row>
    <x:row r="24" ht="14.75">
      <x:c r="A24" s="26">
        <x:v>20</x:v>
      </x:c>
      <x:c r="B24" s="27" t="s">
        <x:v>77</x:v>
      </x:c>
      <x:c r="C24" s="28" t="s">
        <x:v>78</x:v>
      </x:c>
      <x:c r="D24" s="28" t="s">
        <x:v>78</x:v>
      </x:c>
      <x:c r="E24" s="27" t="s">
        <x:v>43</x:v>
      </x:c>
      <x:c r="F24" s="28" t="s">
        <x:v>78</x:v>
      </x:c>
      <x:c r="G24" s="24" t="s">
        <x:v>58</x:v>
      </x:c>
      <x:c r="H24" s="25" t="str">
        <x:f t="shared" si="0">IF(G24&lt;&gt;"","COMPLETE","PENDING")</x:f>
        <x:v>COMPLETE</x:v>
      </x:c>
    </x:row>
    <x:row r="25" ht="14.75">
      <x:c r="A25" s="21">
        <x:v>21</x:v>
      </x:c>
      <x:c r="B25" s="22" t="s">
        <x:v>79</x:v>
      </x:c>
      <x:c r="C25" s="23" t="s">
        <x:v>80</x:v>
      </x:c>
      <x:c r="D25" s="23" t="s">
        <x:v>80</x:v>
      </x:c>
      <x:c r="E25" s="22" t="s">
        <x:v>43</x:v>
      </x:c>
      <x:c r="F25" s="23" t="s">
        <x:v>80</x:v>
      </x:c>
      <x:c r="G25" s="24" t="s">
        <x:v>44</x:v>
      </x:c>
      <x:c r="H25" s="25" t="str">
        <x:f t="shared" si="0">IF(G25&lt;&gt;"","COMPLETE","PENDING")</x:f>
        <x:v>COMPLETE</x:v>
      </x:c>
    </x:row>
    <x:row r="26" ht="14.75">
      <x:c r="A26" s="21">
        <x:v>22</x:v>
      </x:c>
      <x:c r="B26" s="22" t="s">
        <x:v>79</x:v>
      </x:c>
      <x:c r="C26" s="23" t="s">
        <x:v>80</x:v>
      </x:c>
      <x:c r="D26" s="23" t="s">
        <x:v>80</x:v>
      </x:c>
      <x:c r="E26" s="22" t="s">
        <x:v>51</x:v>
      </x:c>
      <x:c r="F26" s="23" t="s">
        <x:v>81</x:v>
      </x:c>
      <x:c r="G26" s="24" t="s">
        <x:v>44</x:v>
      </x:c>
      <x:c r="H26" s="25" t="str">
        <x:f t="shared" si="0">IF(G26&lt;&gt;"","COMPLETE","PENDING")</x:f>
        <x:v>COMPLETE</x:v>
      </x:c>
    </x:row>
    <x:row r="27" ht="14.75">
      <x:c r="A27" s="26">
        <x:v>23</x:v>
      </x:c>
      <x:c r="B27" s="27" t="s">
        <x:v>82</x:v>
      </x:c>
      <x:c r="C27" s="28" t="s">
        <x:v>83</x:v>
      </x:c>
      <x:c r="D27" s="28" t="s">
        <x:v>83</x:v>
      </x:c>
      <x:c r="E27" s="27" t="s">
        <x:v>43</x:v>
      </x:c>
      <x:c r="F27" s="28" t="s">
        <x:v>83</x:v>
      </x:c>
      <x:c r="G27" s="24" t="s">
        <x:v>44</x:v>
      </x:c>
      <x:c r="H27" s="25" t="str">
        <x:f t="shared" si="0">IF(G27&lt;&gt;"","COMPLETE","PENDING")</x:f>
        <x:v>COMPLETE</x:v>
      </x:c>
    </x:row>
    <x:row r="28" ht="14.75">
      <x:c r="A28" s="26">
        <x:v>24</x:v>
      </x:c>
      <x:c r="B28" s="27" t="s">
        <x:v>82</x:v>
      </x:c>
      <x:c r="C28" s="28" t="s">
        <x:v>83</x:v>
      </x:c>
      <x:c r="D28" s="28" t="s">
        <x:v>83</x:v>
      </x:c>
      <x:c r="E28" s="27" t="s">
        <x:v>51</x:v>
      </x:c>
      <x:c r="F28" s="28" t="s">
        <x:v>84</x:v>
      </x:c>
      <x:c r="G28" s="24" t="s">
        <x:v>44</x:v>
      </x:c>
      <x:c r="H28" s="25" t="str">
        <x:f t="shared" si="0">IF(G28&lt;&gt;"","COMPLETE","PENDING")</x:f>
        <x:v>COMPLETE</x:v>
      </x:c>
    </x:row>
    <x:row r="29" ht="14.75">
      <x:c r="A29" s="21">
        <x:v>25</x:v>
      </x:c>
      <x:c r="B29" s="22" t="s">
        <x:v>85</x:v>
      </x:c>
      <x:c r="C29" s="23" t="s">
        <x:v>86</x:v>
      </x:c>
      <x:c r="D29" s="23" t="s">
        <x:v>86</x:v>
      </x:c>
      <x:c r="E29" s="22" t="s">
        <x:v>43</x:v>
      </x:c>
      <x:c r="F29" s="23" t="s">
        <x:v>87</x:v>
      </x:c>
      <x:c r="G29" s="24" t="s">
        <x:v>44</x:v>
      </x:c>
      <x:c r="H29" s="25" t="str">
        <x:f t="shared" si="0">IF(G29&lt;&gt;"","COMPLETE","PENDING")</x:f>
        <x:v>COMPLETE</x:v>
      </x:c>
    </x:row>
    <x:row r="30" ht="14.75">
      <x:c r="A30" s="21">
        <x:v>26</x:v>
      </x:c>
      <x:c r="B30" s="22" t="s">
        <x:v>85</x:v>
      </x:c>
      <x:c r="C30" s="23" t="s">
        <x:v>86</x:v>
      </x:c>
      <x:c r="D30" s="23" t="s">
        <x:v>86</x:v>
      </x:c>
      <x:c r="E30" s="22" t="s">
        <x:v>51</x:v>
      </x:c>
      <x:c r="F30" s="23" t="s">
        <x:v>86</x:v>
      </x:c>
      <x:c r="G30" s="24" t="s">
        <x:v>44</x:v>
      </x:c>
      <x:c r="H30" s="25" t="str">
        <x:f t="shared" si="0">IF(G30&lt;&gt;"","COMPLETE","PENDING")</x:f>
        <x:v>COMPLETE</x:v>
      </x:c>
    </x:row>
    <x:row r="31" ht="14.75">
      <x:c r="A31" s="26">
        <x:v>27</x:v>
      </x:c>
      <x:c r="B31" s="27" t="s">
        <x:v>88</x:v>
      </x:c>
      <x:c r="C31" s="28" t="s">
        <x:v>89</x:v>
      </x:c>
      <x:c r="D31" s="28" t="s">
        <x:v>89</x:v>
      </x:c>
      <x:c r="E31" s="27" t="s">
        <x:v>43</x:v>
      </x:c>
      <x:c r="F31" s="28" t="s">
        <x:v>89</x:v>
      </x:c>
      <x:c r="G31" s="24" t="s">
        <x:v>44</x:v>
      </x:c>
      <x:c r="H31" s="25" t="str">
        <x:f t="shared" si="0">IF(G31&lt;&gt;"","COMPLETE","PENDING")</x:f>
        <x:v>COMPLETE</x:v>
      </x:c>
    </x:row>
    <x:row r="32" ht="14.75">
      <x:c r="A32" s="26">
        <x:v>28</x:v>
      </x:c>
      <x:c r="B32" s="27" t="s">
        <x:v>88</x:v>
      </x:c>
      <x:c r="C32" s="28" t="s">
        <x:v>89</x:v>
      </x:c>
      <x:c r="D32" s="28" t="s">
        <x:v>89</x:v>
      </x:c>
      <x:c r="E32" s="27" t="s">
        <x:v>51</x:v>
      </x:c>
      <x:c r="F32" s="28" t="s">
        <x:v>90</x:v>
      </x:c>
      <x:c r="G32" s="24" t="s">
        <x:v>44</x:v>
      </x:c>
      <x:c r="H32" s="25" t="str">
        <x:f t="shared" si="0">IF(G32&lt;&gt;"","COMPLETE","PENDING")</x:f>
        <x:v>COMPLETE</x:v>
      </x:c>
    </x:row>
    <x:row r="33" ht="14.75">
      <x:c r="A33" s="26">
        <x:v>29</x:v>
      </x:c>
      <x:c r="B33" s="27" t="s">
        <x:v>88</x:v>
      </x:c>
      <x:c r="C33" s="28" t="s">
        <x:v>89</x:v>
      </x:c>
      <x:c r="D33" s="28" t="s">
        <x:v>89</x:v>
      </x:c>
      <x:c r="E33" s="27" t="s">
        <x:v>91</x:v>
      </x:c>
      <x:c r="F33" s="28" t="s">
        <x:v>92</x:v>
      </x:c>
      <x:c r="G33" s="24" t="s">
        <x:v>44</x:v>
      </x:c>
      <x:c r="H33" s="25" t="str">
        <x:f t="shared" si="0">IF(G33&lt;&gt;"","COMPLETE","PENDING")</x:f>
        <x:v>COMPLETE</x:v>
      </x:c>
    </x:row>
    <x:row r="34" ht="14.75">
      <x:c r="A34" s="21">
        <x:v>30</x:v>
      </x:c>
      <x:c r="B34" s="22" t="s">
        <x:v>93</x:v>
      </x:c>
      <x:c r="C34" s="23" t="s">
        <x:v>94</x:v>
      </x:c>
      <x:c r="D34" s="23" t="s">
        <x:v>94</x:v>
      </x:c>
      <x:c r="E34" s="22" t="s">
        <x:v>43</x:v>
      </x:c>
      <x:c r="F34" s="23" t="s">
        <x:v>94</x:v>
      </x:c>
      <x:c r="G34" s="24" t="s">
        <x:v>44</x:v>
      </x:c>
      <x:c r="H34" s="25" t="str">
        <x:f t="shared" si="0">IF(G34&lt;&gt;"","COMPLETE","PENDING")</x:f>
        <x:v>COMPLETE</x:v>
      </x:c>
    </x:row>
    <x:row r="35" ht="14.75">
      <x:c r="A35" s="21">
        <x:v>31</x:v>
      </x:c>
      <x:c r="B35" s="22" t="s">
        <x:v>93</x:v>
      </x:c>
      <x:c r="C35" s="23" t="s">
        <x:v>94</x:v>
      </x:c>
      <x:c r="D35" s="23" t="s">
        <x:v>94</x:v>
      </x:c>
      <x:c r="E35" s="22" t="s">
        <x:v>51</x:v>
      </x:c>
      <x:c r="F35" s="23" t="s">
        <x:v>95</x:v>
      </x:c>
      <x:c r="G35" s="24" t="s">
        <x:v>44</x:v>
      </x:c>
      <x:c r="H35" s="25" t="str">
        <x:f t="shared" si="0">IF(G35&lt;&gt;"","COMPLETE","PENDING")</x:f>
        <x:v>COMPLETE</x:v>
      </x:c>
    </x:row>
    <x:row r="36" ht="14.75">
      <x:c r="A36" s="26">
        <x:v>32</x:v>
      </x:c>
      <x:c r="B36" s="27" t="s">
        <x:v>96</x:v>
      </x:c>
      <x:c r="C36" s="28" t="s">
        <x:v>97</x:v>
      </x:c>
      <x:c r="D36" s="28" t="s">
        <x:v>97</x:v>
      </x:c>
      <x:c r="E36" s="27" t="s">
        <x:v>43</x:v>
      </x:c>
      <x:c r="F36" s="28" t="s">
        <x:v>97</x:v>
      </x:c>
      <x:c r="G36" s="24" t="s">
        <x:v>44</x:v>
      </x:c>
      <x:c r="H36" s="25" t="str">
        <x:f t="shared" si="0">IF(G36&lt;&gt;"","COMPLETE","PENDING")</x:f>
        <x:v>COMPLETE</x:v>
      </x:c>
    </x:row>
    <x:row r="37" ht="14.75">
      <x:c r="A37" s="26">
        <x:v>33</x:v>
      </x:c>
      <x:c r="B37" s="27" t="s">
        <x:v>96</x:v>
      </x:c>
      <x:c r="C37" s="28" t="s">
        <x:v>97</x:v>
      </x:c>
      <x:c r="D37" s="28" t="s">
        <x:v>97</x:v>
      </x:c>
      <x:c r="E37" s="27" t="s">
        <x:v>51</x:v>
      </x:c>
      <x:c r="F37" s="28" t="s">
        <x:v>98</x:v>
      </x:c>
      <x:c r="G37" s="24" t="s">
        <x:v>44</x:v>
      </x:c>
      <x:c r="H37" s="25" t="str">
        <x:f t="shared" si="0">IF(G37&lt;&gt;"","COMPLETE","PENDING")</x:f>
        <x:v>COMPLETE</x:v>
      </x:c>
    </x:row>
    <x:row r="38" ht="14.75">
      <x:c r="A38" s="21">
        <x:v>34</x:v>
      </x:c>
      <x:c r="B38" s="22" t="s">
        <x:v>99</x:v>
      </x:c>
      <x:c r="C38" s="23" t="s">
        <x:v>100</x:v>
      </x:c>
      <x:c r="D38" s="23" t="s">
        <x:v>100</x:v>
      </x:c>
      <x:c r="E38" s="22" t="s">
        <x:v>43</x:v>
      </x:c>
      <x:c r="F38" s="23" t="s">
        <x:v>101</x:v>
      </x:c>
      <x:c r="G38" s="24" t="s">
        <x:v>44</x:v>
      </x:c>
      <x:c r="H38" s="25" t="str">
        <x:f t="shared" si="0">IF(G38&lt;&gt;"","COMPLETE","PENDING")</x:f>
        <x:v>COMPLETE</x:v>
      </x:c>
    </x:row>
    <x:row r="39" ht="14.75">
      <x:c r="A39" s="21">
        <x:v>35</x:v>
      </x:c>
      <x:c r="B39" s="22" t="s">
        <x:v>99</x:v>
      </x:c>
      <x:c r="C39" s="23" t="s">
        <x:v>100</x:v>
      </x:c>
      <x:c r="D39" s="23" t="s">
        <x:v>100</x:v>
      </x:c>
      <x:c r="E39" s="22" t="s">
        <x:v>51</x:v>
      </x:c>
      <x:c r="F39" s="23" t="s">
        <x:v>100</x:v>
      </x:c>
      <x:c r="G39" s="24" t="s">
        <x:v>44</x:v>
      </x:c>
      <x:c r="H39" s="25" t="str">
        <x:f t="shared" si="0">IF(G39&lt;&gt;"","COMPLETE","PENDING")</x:f>
        <x:v>COMPLETE</x:v>
      </x:c>
    </x:row>
    <x:row r="40" ht="14.75">
      <x:c r="A40" s="26">
        <x:v>36</x:v>
      </x:c>
      <x:c r="B40" s="27" t="s">
        <x:v>102</x:v>
      </x:c>
      <x:c r="C40" s="28" t="s">
        <x:v>103</x:v>
      </x:c>
      <x:c r="D40" s="28" t="s">
        <x:v>103</x:v>
      </x:c>
      <x:c r="E40" s="27" t="s">
        <x:v>43</x:v>
      </x:c>
      <x:c r="F40" s="28" t="s">
        <x:v>103</x:v>
      </x:c>
      <x:c r="G40" s="24" t="s">
        <x:v>44</x:v>
      </x:c>
      <x:c r="H40" s="25" t="str">
        <x:f t="shared" si="0">IF(G40&lt;&gt;"","COMPLETE","PENDING")</x:f>
        <x:v>COMPLETE</x:v>
      </x:c>
    </x:row>
    <x:row r="41" ht="14.75">
      <x:c r="A41" s="21">
        <x:v>37</x:v>
      </x:c>
      <x:c r="B41" s="22" t="s">
        <x:v>104</x:v>
      </x:c>
      <x:c r="C41" s="23" t="s">
        <x:v>105</x:v>
      </x:c>
      <x:c r="D41" s="23" t="s">
        <x:v>105</x:v>
      </x:c>
      <x:c r="E41" s="22" t="s">
        <x:v>43</x:v>
      </x:c>
      <x:c r="F41" s="23" t="s">
        <x:v>105</x:v>
      </x:c>
      <x:c r="G41" s="24" t="s">
        <x:v>44</x:v>
      </x:c>
      <x:c r="H41" s="25" t="str">
        <x:f t="shared" si="0">IF(G41&lt;&gt;"","COMPLETE","PENDING")</x:f>
        <x:v>COMPLETE</x:v>
      </x:c>
    </x:row>
    <x:row r="42" ht="14.75">
      <x:c r="A42" s="26">
        <x:v>38</x:v>
      </x:c>
      <x:c r="B42" s="27" t="s">
        <x:v>106</x:v>
      </x:c>
      <x:c r="C42" s="28" t="s">
        <x:v>107</x:v>
      </x:c>
      <x:c r="D42" s="28" t="s">
        <x:v>107</x:v>
      </x:c>
      <x:c r="E42" s="27" t="s">
        <x:v>43</x:v>
      </x:c>
      <x:c r="F42" s="28" t="s">
        <x:v>107</x:v>
      </x:c>
      <x:c r="G42" s="24" t="s">
        <x:v>58</x:v>
      </x:c>
      <x:c r="H42" s="25" t="str">
        <x:f t="shared" si="0">IF(G42&lt;&gt;"","COMPLETE","PENDING")</x:f>
        <x:v>COMPLETE</x:v>
      </x:c>
    </x:row>
    <x:row r="43" ht="14.75">
      <x:c r="A43" s="21">
        <x:v>39</x:v>
      </x:c>
      <x:c r="B43" s="22" t="s">
        <x:v>108</x:v>
      </x:c>
      <x:c r="C43" s="23" t="s">
        <x:v>109</x:v>
      </x:c>
      <x:c r="D43" s="23" t="s">
        <x:v>109</x:v>
      </x:c>
      <x:c r="E43" s="22" t="s">
        <x:v>43</x:v>
      </x:c>
      <x:c r="F43" s="23" t="s">
        <x:v>109</x:v>
      </x:c>
      <x:c r="G43" s="24" t="s">
        <x:v>58</x:v>
      </x:c>
      <x:c r="H43" s="25" t="str">
        <x:f t="shared" si="0">IF(G43&lt;&gt;"","COMPLETE","PENDING")</x:f>
        <x:v>COMPLETE</x:v>
      </x:c>
    </x:row>
    <x:row r="44" ht="14.75">
      <x:c r="A44" s="26">
        <x:v>40</x:v>
      </x:c>
      <x:c r="B44" s="27" t="s">
        <x:v>110</x:v>
      </x:c>
      <x:c r="C44" s="28" t="s">
        <x:v>111</x:v>
      </x:c>
      <x:c r="D44" s="28" t="s">
        <x:v>111</x:v>
      </x:c>
      <x:c r="E44" s="27" t="s">
        <x:v>43</x:v>
      </x:c>
      <x:c r="F44" s="28" t="s">
        <x:v>111</x:v>
      </x:c>
      <x:c r="G44" s="24" t="s">
        <x:v>58</x:v>
      </x:c>
      <x:c r="H44" s="25" t="str">
        <x:f t="shared" si="0">IF(G44&lt;&gt;"","COMPLETE","PENDING")</x:f>
        <x:v>COMPLETE</x:v>
      </x:c>
    </x:row>
    <x:row r="45" ht="14.75">
      <x:c r="A45" s="21">
        <x:v>41</x:v>
      </x:c>
      <x:c r="B45" s="22" t="s">
        <x:v>112</x:v>
      </x:c>
      <x:c r="C45" s="23" t="s">
        <x:v>78</x:v>
      </x:c>
      <x:c r="D45" s="23" t="s">
        <x:v>78</x:v>
      </x:c>
      <x:c r="E45" s="22" t="s">
        <x:v>43</x:v>
      </x:c>
      <x:c r="F45" s="23" t="s">
        <x:v>78</x:v>
      </x:c>
      <x:c r="G45" s="24" t="s">
        <x:v>58</x:v>
      </x:c>
      <x:c r="H45" s="25" t="str">
        <x:f t="shared" si="0">IF(G45&lt;&gt;"","COMPLETE","PENDING")</x:f>
        <x:v>COMPLETE</x:v>
      </x:c>
    </x:row>
    <x:row r="46" ht="14.75">
      <x:c r="A46" s="26">
        <x:v>42</x:v>
      </x:c>
      <x:c r="B46" s="27" t="s">
        <x:v>113</x:v>
      </x:c>
      <x:c r="C46" s="28" t="s">
        <x:v>114</x:v>
      </x:c>
      <x:c r="D46" s="28" t="s">
        <x:v>114</x:v>
      </x:c>
      <x:c r="E46" s="27" t="s">
        <x:v>43</x:v>
      </x:c>
      <x:c r="F46" s="28" t="s">
        <x:v>115</x:v>
      </x:c>
      <x:c r="G46" s="24" t="s">
        <x:v>44</x:v>
      </x:c>
      <x:c r="H46" s="25" t="str">
        <x:f t="shared" si="0">IF(G46&lt;&gt;"","COMPLETE","PENDING")</x:f>
        <x:v>COMPLETE</x:v>
      </x:c>
    </x:row>
    <x:row r="47" ht="14.75">
      <x:c r="A47" s="26">
        <x:v>43</x:v>
      </x:c>
      <x:c r="B47" s="27" t="s">
        <x:v>113</x:v>
      </x:c>
      <x:c r="C47" s="28" t="s">
        <x:v>114</x:v>
      </x:c>
      <x:c r="D47" s="28" t="s">
        <x:v>114</x:v>
      </x:c>
      <x:c r="E47" s="27" t="s">
        <x:v>51</x:v>
      </x:c>
      <x:c r="F47" s="28" t="s">
        <x:v>114</x:v>
      </x:c>
      <x:c r="G47" s="24" t="s">
        <x:v>44</x:v>
      </x:c>
      <x:c r="H47" s="25" t="str">
        <x:f t="shared" si="0">IF(G47&lt;&gt;"","COMPLETE","PENDING")</x:f>
        <x:v>COMPLETE</x:v>
      </x:c>
    </x:row>
    <x:row r="48" ht="14.75">
      <x:c r="A48" s="21">
        <x:v>44</x:v>
      </x:c>
      <x:c r="B48" s="22" t="s">
        <x:v>116</x:v>
      </x:c>
      <x:c r="C48" s="23" t="s">
        <x:v>117</x:v>
      </x:c>
      <x:c r="D48" s="23" t="s">
        <x:v>117</x:v>
      </x:c>
      <x:c r="E48" s="22" t="s">
        <x:v>43</x:v>
      </x:c>
      <x:c r="F48" s="23" t="s">
        <x:v>118</x:v>
      </x:c>
      <x:c r="G48" s="24" t="s">
        <x:v>44</x:v>
      </x:c>
      <x:c r="H48" s="25" t="str">
        <x:f t="shared" si="0">IF(G48&lt;&gt;"","COMPLETE","PENDING")</x:f>
        <x:v>COMPLETE</x:v>
      </x:c>
    </x:row>
    <x:row r="49" ht="14.75">
      <x:c r="A49" s="21">
        <x:v>45</x:v>
      </x:c>
      <x:c r="B49" s="22" t="s">
        <x:v>116</x:v>
      </x:c>
      <x:c r="C49" s="23" t="s">
        <x:v>117</x:v>
      </x:c>
      <x:c r="D49" s="23" t="s">
        <x:v>117</x:v>
      </x:c>
      <x:c r="E49" s="22" t="s">
        <x:v>51</x:v>
      </x:c>
      <x:c r="F49" s="23" t="s">
        <x:v>117</x:v>
      </x:c>
      <x:c r="G49" s="24" t="s">
        <x:v>44</x:v>
      </x:c>
      <x:c r="H49" s="25" t="str">
        <x:f t="shared" si="0">IF(G49&lt;&gt;"","COMPLETE","PENDING")</x:f>
        <x:v>COMPLETE</x:v>
      </x:c>
    </x:row>
    <x:row r="50" ht="14.75">
      <x:c r="A50" s="26">
        <x:v>46</x:v>
      </x:c>
      <x:c r="B50" s="27" t="s">
        <x:v>119</x:v>
      </x:c>
      <x:c r="C50" s="28" t="s">
        <x:v>120</x:v>
      </x:c>
      <x:c r="D50" s="28" t="s">
        <x:v>120</x:v>
      </x:c>
      <x:c r="E50" s="27" t="s">
        <x:v>43</x:v>
      </x:c>
      <x:c r="F50" s="28" t="s">
        <x:v>121</x:v>
      </x:c>
      <x:c r="G50" s="24" t="s">
        <x:v>44</x:v>
      </x:c>
      <x:c r="H50" s="25" t="str">
        <x:f t="shared" si="0">IF(G50&lt;&gt;"","COMPLETE","PENDING")</x:f>
        <x:v>COMPLETE</x:v>
      </x:c>
    </x:row>
    <x:row r="51" ht="14.75">
      <x:c r="A51" s="26">
        <x:v>47</x:v>
      </x:c>
      <x:c r="B51" s="27" t="s">
        <x:v>119</x:v>
      </x:c>
      <x:c r="C51" s="28" t="s">
        <x:v>120</x:v>
      </x:c>
      <x:c r="D51" s="28" t="s">
        <x:v>120</x:v>
      </x:c>
      <x:c r="E51" s="27" t="s">
        <x:v>51</x:v>
      </x:c>
      <x:c r="F51" s="28" t="s">
        <x:v>122</x:v>
      </x:c>
      <x:c r="G51" s="24" t="s">
        <x:v>58</x:v>
      </x:c>
      <x:c r="H51" s="25" t="str">
        <x:f t="shared" si="0">IF(G51&lt;&gt;"","COMPLETE","PENDING")</x:f>
        <x:v>COMPLETE</x:v>
      </x:c>
    </x:row>
    <x:row r="52" ht="14.75">
      <x:c r="A52" s="26">
        <x:v>48</x:v>
      </x:c>
      <x:c r="B52" s="27" t="s">
        <x:v>119</x:v>
      </x:c>
      <x:c r="C52" s="28" t="s">
        <x:v>120</x:v>
      </x:c>
      <x:c r="D52" s="28" t="s">
        <x:v>120</x:v>
      </x:c>
      <x:c r="E52" s="27" t="s">
        <x:v>91</x:v>
      </x:c>
      <x:c r="F52" s="28" t="s">
        <x:v>120</x:v>
      </x:c>
      <x:c r="G52" s="24" t="s">
        <x:v>44</x:v>
      </x:c>
      <x:c r="H52" s="25" t="str">
        <x:f t="shared" si="0">IF(G52&lt;&gt;"","COMPLETE","PENDING")</x:f>
        <x:v>COMPLETE</x:v>
      </x:c>
    </x:row>
    <x:row r="53" ht="14.75">
      <x:c r="A53" s="21">
        <x:v>49</x:v>
      </x:c>
      <x:c r="B53" s="22" t="s">
        <x:v>123</x:v>
      </x:c>
      <x:c r="C53" s="23" t="s">
        <x:v>124</x:v>
      </x:c>
      <x:c r="D53" s="23" t="s">
        <x:v>124</x:v>
      </x:c>
      <x:c r="E53" s="22" t="s">
        <x:v>43</x:v>
      </x:c>
      <x:c r="F53" s="23" t="s">
        <x:v>125</x:v>
      </x:c>
      <x:c r="G53" s="24" t="s">
        <x:v>58</x:v>
      </x:c>
      <x:c r="H53" s="25" t="str">
        <x:f t="shared" si="0">IF(G53&lt;&gt;"","COMPLETE","PENDING")</x:f>
        <x:v>COMPLETE</x:v>
      </x:c>
    </x:row>
    <x:row r="54" ht="14.75">
      <x:c r="A54" s="21">
        <x:v>50</x:v>
      </x:c>
      <x:c r="B54" s="22" t="s">
        <x:v>123</x:v>
      </x:c>
      <x:c r="C54" s="23" t="s">
        <x:v>124</x:v>
      </x:c>
      <x:c r="D54" s="23" t="s">
        <x:v>124</x:v>
      </x:c>
      <x:c r="E54" s="22" t="s">
        <x:v>51</x:v>
      </x:c>
      <x:c r="F54" s="23" t="s">
        <x:v>126</x:v>
      </x:c>
      <x:c r="G54" s="24" t="s">
        <x:v>44</x:v>
      </x:c>
      <x:c r="H54" s="25" t="str">
        <x:f t="shared" si="0">IF(G54&lt;&gt;"","COMPLETE","PENDING")</x:f>
        <x:v>COMPLETE</x:v>
      </x:c>
    </x:row>
    <x:row r="55" ht="14.75">
      <x:c r="A55" s="21">
        <x:v>51</x:v>
      </x:c>
      <x:c r="B55" s="22" t="s">
        <x:v>123</x:v>
      </x:c>
      <x:c r="C55" s="23" t="s">
        <x:v>124</x:v>
      </x:c>
      <x:c r="D55" s="23" t="s">
        <x:v>124</x:v>
      </x:c>
      <x:c r="E55" s="22" t="s">
        <x:v>91</x:v>
      </x:c>
      <x:c r="F55" s="23" t="s">
        <x:v>124</x:v>
      </x:c>
      <x:c r="G55" s="24" t="s">
        <x:v>44</x:v>
      </x:c>
      <x:c r="H55" s="25" t="str">
        <x:f t="shared" si="0">IF(G55&lt;&gt;"","COMPLETE","PENDING")</x:f>
        <x:v>COMPLETE</x:v>
      </x:c>
    </x:row>
    <x:row r="56" ht="14.75">
      <x:c r="A56" s="26">
        <x:v>52</x:v>
      </x:c>
      <x:c r="B56" s="27" t="s">
        <x:v>127</x:v>
      </x:c>
      <x:c r="C56" s="28" t="s">
        <x:v>128</x:v>
      </x:c>
      <x:c r="D56" s="28" t="s">
        <x:v>128</x:v>
      </x:c>
      <x:c r="E56" s="27" t="s">
        <x:v>43</x:v>
      </x:c>
      <x:c r="F56" s="28" t="s">
        <x:v>129</x:v>
      </x:c>
      <x:c r="G56" s="24" t="s">
        <x:v>44</x:v>
      </x:c>
      <x:c r="H56" s="25" t="str">
        <x:f t="shared" si="0">IF(G56&lt;&gt;"","COMPLETE","PENDING")</x:f>
        <x:v>COMPLETE</x:v>
      </x:c>
    </x:row>
    <x:row r="57" ht="14.75">
      <x:c r="A57" s="26">
        <x:v>53</x:v>
      </x:c>
      <x:c r="B57" s="27" t="s">
        <x:v>127</x:v>
      </x:c>
      <x:c r="C57" s="28" t="s">
        <x:v>128</x:v>
      </x:c>
      <x:c r="D57" s="28" t="s">
        <x:v>128</x:v>
      </x:c>
      <x:c r="E57" s="27" t="s">
        <x:v>51</x:v>
      </x:c>
      <x:c r="F57" s="28" t="s">
        <x:v>128</x:v>
      </x:c>
      <x:c r="G57" s="24" t="s">
        <x:v>44</x:v>
      </x:c>
      <x:c r="H57" s="25" t="str">
        <x:f t="shared" si="0">IF(G57&lt;&gt;"","COMPLETE","PENDING")</x:f>
        <x:v>COMPLETE</x:v>
      </x:c>
    </x:row>
    <x:row r="58" ht="14.75">
      <x:c r="A58" s="21">
        <x:v>54</x:v>
      </x:c>
      <x:c r="B58" s="22" t="s">
        <x:v>130</x:v>
      </x:c>
      <x:c r="C58" s="23" t="s">
        <x:v>131</x:v>
      </x:c>
      <x:c r="D58" s="23" t="s">
        <x:v>131</x:v>
      </x:c>
      <x:c r="E58" s="22" t="s">
        <x:v>43</x:v>
      </x:c>
      <x:c r="F58" s="23" t="s">
        <x:v>131</x:v>
      </x:c>
      <x:c r="G58" s="24" t="s">
        <x:v>44</x:v>
      </x:c>
      <x:c r="H58" s="25" t="str">
        <x:f t="shared" si="0">IF(G58&lt;&gt;"","COMPLETE","PENDING")</x:f>
        <x:v>COMPLETE</x:v>
      </x:c>
    </x:row>
    <x:row r="59" ht="14.75">
      <x:c r="A59" s="21">
        <x:v>55</x:v>
      </x:c>
      <x:c r="B59" s="22" t="s">
        <x:v>130</x:v>
      </x:c>
      <x:c r="C59" s="23" t="s">
        <x:v>131</x:v>
      </x:c>
      <x:c r="D59" s="23" t="s">
        <x:v>131</x:v>
      </x:c>
      <x:c r="E59" s="22" t="s">
        <x:v>51</x:v>
      </x:c>
      <x:c r="F59" s="23" t="s">
        <x:v>132</x:v>
      </x:c>
      <x:c r="G59" s="24" t="s">
        <x:v>44</x:v>
      </x:c>
      <x:c r="H59" s="25" t="str">
        <x:f t="shared" si="0">IF(G59&lt;&gt;"","COMPLETE","PENDING")</x:f>
        <x:v>COMPLETE</x:v>
      </x:c>
    </x:row>
    <x:row r="60" ht="14.75">
      <x:c r="A60" s="26">
        <x:v>56</x:v>
      </x:c>
      <x:c r="B60" s="27" t="s">
        <x:v>133</x:v>
      </x:c>
      <x:c r="C60" s="28" t="s">
        <x:v>134</x:v>
      </x:c>
      <x:c r="D60" s="28" t="s">
        <x:v>134</x:v>
      </x:c>
      <x:c r="E60" s="27" t="s">
        <x:v>43</x:v>
      </x:c>
      <x:c r="F60" s="28" t="s">
        <x:v>135</x:v>
      </x:c>
      <x:c r="G60" s="24" t="s">
        <x:v>44</x:v>
      </x:c>
      <x:c r="H60" s="25" t="str">
        <x:f t="shared" si="0">IF(G60&lt;&gt;"","COMPLETE","PENDING")</x:f>
        <x:v>COMPLETE</x:v>
      </x:c>
    </x:row>
    <x:row r="61" ht="14.75">
      <x:c r="A61" s="26">
        <x:v>57</x:v>
      </x:c>
      <x:c r="B61" s="27" t="s">
        <x:v>133</x:v>
      </x:c>
      <x:c r="C61" s="28" t="s">
        <x:v>134</x:v>
      </x:c>
      <x:c r="D61" s="28" t="s">
        <x:v>134</x:v>
      </x:c>
      <x:c r="E61" s="27" t="s">
        <x:v>51</x:v>
      </x:c>
      <x:c r="F61" s="28" t="s">
        <x:v>134</x:v>
      </x:c>
      <x:c r="G61" s="24" t="s">
        <x:v>44</x:v>
      </x:c>
      <x:c r="H61" s="25" t="str">
        <x:f t="shared" si="0">IF(G61&lt;&gt;"","COMPLETE","PENDING")</x:f>
        <x:v>COMPLETE</x:v>
      </x:c>
    </x:row>
    <x:row r="62" ht="14.75">
      <x:c r="A62" s="21">
        <x:v>58</x:v>
      </x:c>
      <x:c r="B62" s="22" t="s">
        <x:v>136</x:v>
      </x:c>
      <x:c r="C62" s="23" t="s">
        <x:v>137</x:v>
      </x:c>
      <x:c r="D62" s="23" t="s">
        <x:v>137</x:v>
      </x:c>
      <x:c r="E62" s="22" t="s">
        <x:v>43</x:v>
      </x:c>
      <x:c r="F62" s="23" t="s">
        <x:v>138</x:v>
      </x:c>
      <x:c r="G62" s="24" t="s">
        <x:v>44</x:v>
      </x:c>
      <x:c r="H62" s="25" t="str">
        <x:f t="shared" si="0">IF(G62&lt;&gt;"","COMPLETE","PENDING")</x:f>
        <x:v>COMPLETE</x:v>
      </x:c>
    </x:row>
    <x:row r="63" ht="14.75">
      <x:c r="A63" s="21">
        <x:v>59</x:v>
      </x:c>
      <x:c r="B63" s="22" t="s">
        <x:v>136</x:v>
      </x:c>
      <x:c r="C63" s="23" t="s">
        <x:v>137</x:v>
      </x:c>
      <x:c r="D63" s="23" t="s">
        <x:v>137</x:v>
      </x:c>
      <x:c r="E63" s="22" t="s">
        <x:v>51</x:v>
      </x:c>
      <x:c r="F63" s="23" t="s">
        <x:v>137</x:v>
      </x:c>
      <x:c r="G63" s="24" t="s">
        <x:v>44</x:v>
      </x:c>
      <x:c r="H63" s="25" t="str">
        <x:f t="shared" si="0">IF(G63&lt;&gt;"","COMPLETE","PENDING")</x:f>
        <x:v>COMPLETE</x:v>
      </x:c>
    </x:row>
    <x:row r="64" ht="14.75">
      <x:c r="A64" s="26">
        <x:v>60</x:v>
      </x:c>
      <x:c r="B64" s="27" t="s">
        <x:v>139</x:v>
      </x:c>
      <x:c r="C64" s="28" t="s">
        <x:v>140</x:v>
      </x:c>
      <x:c r="D64" s="28" t="s">
        <x:v>140</x:v>
      </x:c>
      <x:c r="E64" s="27" t="s">
        <x:v>43</x:v>
      </x:c>
      <x:c r="F64" s="28" t="s">
        <x:v>140</x:v>
      </x:c>
      <x:c r="G64" s="24" t="s">
        <x:v>44</x:v>
      </x:c>
      <x:c r="H64" s="25" t="str">
        <x:f t="shared" si="0">IF(G64&lt;&gt;"","COMPLETE","PENDING")</x:f>
        <x:v>COMPLETE</x:v>
      </x:c>
    </x:row>
    <x:row r="65" ht="14.75">
      <x:c r="A65" s="26">
        <x:v>61</x:v>
      </x:c>
      <x:c r="B65" s="27" t="s">
        <x:v>139</x:v>
      </x:c>
      <x:c r="C65" s="28" t="s">
        <x:v>140</x:v>
      </x:c>
      <x:c r="D65" s="28" t="s">
        <x:v>140</x:v>
      </x:c>
      <x:c r="E65" s="27" t="s">
        <x:v>51</x:v>
      </x:c>
      <x:c r="F65" s="28" t="s">
        <x:v>141</x:v>
      </x:c>
      <x:c r="G65" s="24" t="s">
        <x:v>44</x:v>
      </x:c>
      <x:c r="H65" s="25" t="str">
        <x:f t="shared" si="0">IF(G65&lt;&gt;"","COMPLETE","PENDING")</x:f>
        <x:v>COMPLETE</x:v>
      </x:c>
    </x:row>
    <x:row r="66" ht="14.75">
      <x:c r="A66" s="21">
        <x:v>62</x:v>
      </x:c>
      <x:c r="B66" s="22" t="s">
        <x:v>142</x:v>
      </x:c>
      <x:c r="C66" s="23" t="s">
        <x:v>143</x:v>
      </x:c>
      <x:c r="D66" s="23" t="s">
        <x:v>143</x:v>
      </x:c>
      <x:c r="E66" s="22" t="s">
        <x:v>43</x:v>
      </x:c>
      <x:c r="F66" s="23" t="s">
        <x:v>144</x:v>
      </x:c>
      <x:c r="G66" s="24" t="s">
        <x:v>44</x:v>
      </x:c>
      <x:c r="H66" s="25" t="str">
        <x:f t="shared" si="0">IF(G66&lt;&gt;"","COMPLETE","PENDING")</x:f>
        <x:v>COMPLETE</x:v>
      </x:c>
    </x:row>
    <x:row r="67" ht="14.75">
      <x:c r="A67" s="21">
        <x:v>63</x:v>
      </x:c>
      <x:c r="B67" s="22" t="s">
        <x:v>142</x:v>
      </x:c>
      <x:c r="C67" s="23" t="s">
        <x:v>143</x:v>
      </x:c>
      <x:c r="D67" s="23" t="s">
        <x:v>143</x:v>
      </x:c>
      <x:c r="E67" s="22" t="s">
        <x:v>51</x:v>
      </x:c>
      <x:c r="F67" s="23" t="s">
        <x:v>143</x:v>
      </x:c>
      <x:c r="G67" s="24" t="s">
        <x:v>44</x:v>
      </x:c>
      <x:c r="H67" s="25" t="str">
        <x:f t="shared" si="0">IF(G67&lt;&gt;"","COMPLETE","PENDING")</x:f>
        <x:v>COMPLETE</x:v>
      </x:c>
    </x:row>
    <x:row r="68" ht="14.75">
      <x:c r="A68" s="26">
        <x:v>64</x:v>
      </x:c>
      <x:c r="B68" s="27" t="s">
        <x:v>145</x:v>
      </x:c>
      <x:c r="C68" s="28" t="s">
        <x:v>146</x:v>
      </x:c>
      <x:c r="D68" s="28" t="s">
        <x:v>146</x:v>
      </x:c>
      <x:c r="E68" s="27" t="s">
        <x:v>43</x:v>
      </x:c>
      <x:c r="F68" s="28" t="s">
        <x:v>146</x:v>
      </x:c>
      <x:c r="G68" s="24" t="s">
        <x:v>44</x:v>
      </x:c>
      <x:c r="H68" s="25" t="str">
        <x:f t="shared" si="0">IF(G68&lt;&gt;"","COMPLETE","PENDING")</x:f>
        <x:v>COMPLETE</x:v>
      </x:c>
    </x:row>
    <x:row r="69" ht="14.75">
      <x:c r="A69" s="26">
        <x:v>65</x:v>
      </x:c>
      <x:c r="B69" s="27" t="s">
        <x:v>145</x:v>
      </x:c>
      <x:c r="C69" s="28" t="s">
        <x:v>146</x:v>
      </x:c>
      <x:c r="D69" s="28" t="s">
        <x:v>146</x:v>
      </x:c>
      <x:c r="E69" s="27" t="s">
        <x:v>51</x:v>
      </x:c>
      <x:c r="F69" s="28" t="s">
        <x:v>147</x:v>
      </x:c>
      <x:c r="G69" s="24" t="s">
        <x:v>44</x:v>
      </x:c>
      <x:c r="H69" s="25" t="str">
        <x:f t="shared" ref="H69:H132" si="1">IF(G69&lt;&gt;"","COMPLETE","PENDING")</x:f>
        <x:v>COMPLETE</x:v>
      </x:c>
    </x:row>
    <x:row r="70" ht="14.75">
      <x:c r="A70" s="21">
        <x:v>66</x:v>
      </x:c>
      <x:c r="B70" s="22" t="s">
        <x:v>148</x:v>
      </x:c>
      <x:c r="C70" s="23" t="s">
        <x:v>149</x:v>
      </x:c>
      <x:c r="D70" s="23" t="s">
        <x:v>149</x:v>
      </x:c>
      <x:c r="E70" s="22" t="s">
        <x:v>43</x:v>
      </x:c>
      <x:c r="F70" s="23" t="s">
        <x:v>150</x:v>
      </x:c>
      <x:c r="G70" s="24" t="s">
        <x:v>44</x:v>
      </x:c>
      <x:c r="H70" s="25" t="str">
        <x:f t="shared" si="1">IF(G70&lt;&gt;"","COMPLETE","PENDING")</x:f>
        <x:v>COMPLETE</x:v>
      </x:c>
    </x:row>
    <x:row r="71" ht="14.75">
      <x:c r="A71" s="21">
        <x:v>67</x:v>
      </x:c>
      <x:c r="B71" s="22" t="s">
        <x:v>148</x:v>
      </x:c>
      <x:c r="C71" s="23" t="s">
        <x:v>149</x:v>
      </x:c>
      <x:c r="D71" s="23" t="s">
        <x:v>149</x:v>
      </x:c>
      <x:c r="E71" s="22" t="s">
        <x:v>51</x:v>
      </x:c>
      <x:c r="F71" s="23" t="s">
        <x:v>149</x:v>
      </x:c>
      <x:c r="G71" s="24" t="s">
        <x:v>44</x:v>
      </x:c>
      <x:c r="H71" s="25" t="str">
        <x:f t="shared" si="1">IF(G71&lt;&gt;"","COMPLETE","PENDING")</x:f>
        <x:v>COMPLETE</x:v>
      </x:c>
    </x:row>
    <x:row r="72" ht="14.75">
      <x:c r="A72" s="26">
        <x:v>68</x:v>
      </x:c>
      <x:c r="B72" s="27" t="s">
        <x:v>151</x:v>
      </x:c>
      <x:c r="C72" s="28" t="s">
        <x:v>152</x:v>
      </x:c>
      <x:c r="D72" s="28" t="s">
        <x:v>152</x:v>
      </x:c>
      <x:c r="E72" s="27" t="s">
        <x:v>43</x:v>
      </x:c>
      <x:c r="F72" s="28" t="s">
        <x:v>153</x:v>
      </x:c>
      <x:c r="G72" s="24" t="s">
        <x:v>44</x:v>
      </x:c>
      <x:c r="H72" s="25" t="str">
        <x:f t="shared" si="1">IF(G72&lt;&gt;"","COMPLETE","PENDING")</x:f>
        <x:v>COMPLETE</x:v>
      </x:c>
    </x:row>
    <x:row r="73" ht="14.75">
      <x:c r="A73" s="26">
        <x:v>69</x:v>
      </x:c>
      <x:c r="B73" s="27" t="s">
        <x:v>151</x:v>
      </x:c>
      <x:c r="C73" s="28" t="s">
        <x:v>152</x:v>
      </x:c>
      <x:c r="D73" s="28" t="s">
        <x:v>152</x:v>
      </x:c>
      <x:c r="E73" s="27" t="s">
        <x:v>51</x:v>
      </x:c>
      <x:c r="F73" s="28" t="s">
        <x:v>152</x:v>
      </x:c>
      <x:c r="G73" s="24" t="s">
        <x:v>44</x:v>
      </x:c>
      <x:c r="H73" s="25" t="str">
        <x:f t="shared" si="1">IF(G73&lt;&gt;"","COMPLETE","PENDING")</x:f>
        <x:v>COMPLETE</x:v>
      </x:c>
    </x:row>
    <x:row r="74" ht="14.75">
      <x:c r="A74" s="21">
        <x:v>70</x:v>
      </x:c>
      <x:c r="B74" s="22" t="s">
        <x:v>154</x:v>
      </x:c>
      <x:c r="C74" s="23" t="s">
        <x:v>155</x:v>
      </x:c>
      <x:c r="D74" s="23" t="s">
        <x:v>155</x:v>
      </x:c>
      <x:c r="E74" s="22" t="s">
        <x:v>43</x:v>
      </x:c>
      <x:c r="F74" s="23" t="s">
        <x:v>156</x:v>
      </x:c>
      <x:c r="G74" s="24" t="s">
        <x:v>44</x:v>
      </x:c>
      <x:c r="H74" s="25" t="str">
        <x:f t="shared" si="1">IF(G74&lt;&gt;"","COMPLETE","PENDING")</x:f>
        <x:v>COMPLETE</x:v>
      </x:c>
    </x:row>
    <x:row r="75" ht="14.75">
      <x:c r="A75" s="21">
        <x:v>71</x:v>
      </x:c>
      <x:c r="B75" s="22" t="s">
        <x:v>154</x:v>
      </x:c>
      <x:c r="C75" s="23" t="s">
        <x:v>155</x:v>
      </x:c>
      <x:c r="D75" s="23" t="s">
        <x:v>155</x:v>
      </x:c>
      <x:c r="E75" s="22" t="s">
        <x:v>51</x:v>
      </x:c>
      <x:c r="F75" s="23" t="s">
        <x:v>155</x:v>
      </x:c>
      <x:c r="G75" s="24" t="s">
        <x:v>44</x:v>
      </x:c>
      <x:c r="H75" s="25" t="str">
        <x:f t="shared" si="1">IF(G75&lt;&gt;"","COMPLETE","PENDING")</x:f>
        <x:v>COMPLETE</x:v>
      </x:c>
    </x:row>
    <x:row r="76" ht="14.75">
      <x:c r="A76" s="26">
        <x:v>72</x:v>
      </x:c>
      <x:c r="B76" s="27" t="s">
        <x:v>157</x:v>
      </x:c>
      <x:c r="C76" s="28" t="s">
        <x:v>158</x:v>
      </x:c>
      <x:c r="D76" s="28" t="s">
        <x:v>158</x:v>
      </x:c>
      <x:c r="E76" s="27" t="s">
        <x:v>43</x:v>
      </x:c>
      <x:c r="F76" s="28" t="s">
        <x:v>159</x:v>
      </x:c>
      <x:c r="G76" s="24" t="s">
        <x:v>44</x:v>
      </x:c>
      <x:c r="H76" s="25" t="str">
        <x:f t="shared" si="1">IF(G76&lt;&gt;"","COMPLETE","PENDING")</x:f>
        <x:v>COMPLETE</x:v>
      </x:c>
    </x:row>
    <x:row r="77" ht="14.75">
      <x:c r="A77" s="26">
        <x:v>73</x:v>
      </x:c>
      <x:c r="B77" s="27" t="s">
        <x:v>157</x:v>
      </x:c>
      <x:c r="C77" s="28" t="s">
        <x:v>158</x:v>
      </x:c>
      <x:c r="D77" s="28" t="s">
        <x:v>158</x:v>
      </x:c>
      <x:c r="E77" s="27" t="s">
        <x:v>51</x:v>
      </x:c>
      <x:c r="F77" s="28" t="s">
        <x:v>158</x:v>
      </x:c>
      <x:c r="G77" s="24" t="s">
        <x:v>44</x:v>
      </x:c>
      <x:c r="H77" s="25" t="str">
        <x:f t="shared" si="1">IF(G77&lt;&gt;"","COMPLETE","PENDING")</x:f>
        <x:v>COMPLETE</x:v>
      </x:c>
    </x:row>
    <x:row r="78" ht="29.5">
      <x:c r="A78" s="21">
        <x:v>74</x:v>
      </x:c>
      <x:c r="B78" s="22" t="s">
        <x:v>160</x:v>
      </x:c>
      <x:c r="C78" s="23" t="s">
        <x:v>161</x:v>
      </x:c>
      <x:c r="D78" s="23" t="s">
        <x:v>120</x:v>
      </x:c>
      <x:c r="E78" s="22" t="s">
        <x:v>43</x:v>
      </x:c>
      <x:c r="F78" s="23" t="s">
        <x:v>121</x:v>
      </x:c>
      <x:c r="G78" s="24" t="s">
        <x:v>44</x:v>
      </x:c>
      <x:c r="H78" s="25" t="str">
        <x:f t="shared" si="1">IF(G78&lt;&gt;"","COMPLETE","PENDING")</x:f>
        <x:v>COMPLETE</x:v>
      </x:c>
    </x:row>
    <x:row r="79" ht="29.5">
      <x:c r="A79" s="21">
        <x:v>75</x:v>
      </x:c>
      <x:c r="B79" s="22" t="s">
        <x:v>160</x:v>
      </x:c>
      <x:c r="C79" s="23" t="s">
        <x:v>161</x:v>
      </x:c>
      <x:c r="D79" s="23" t="s">
        <x:v>120</x:v>
      </x:c>
      <x:c r="E79" s="22" t="s">
        <x:v>51</x:v>
      </x:c>
      <x:c r="F79" s="23" t="s">
        <x:v>120</x:v>
      </x:c>
      <x:c r="G79" s="24" t="s">
        <x:v>44</x:v>
      </x:c>
      <x:c r="H79" s="25" t="str">
        <x:f t="shared" si="1">IF(G79&lt;&gt;"","COMPLETE","PENDING")</x:f>
        <x:v>COMPLETE</x:v>
      </x:c>
    </x:row>
    <x:row r="80" ht="14.75">
      <x:c r="A80" s="26">
        <x:v>76</x:v>
      </x:c>
      <x:c r="B80" s="27" t="s">
        <x:v>162</x:v>
      </x:c>
      <x:c r="C80" s="28" t="s">
        <x:v>107</x:v>
      </x:c>
      <x:c r="D80" s="28" t="s">
        <x:v>107</x:v>
      </x:c>
      <x:c r="E80" s="27" t="s">
        <x:v>43</x:v>
      </x:c>
      <x:c r="F80" s="28" t="s">
        <x:v>107</x:v>
      </x:c>
      <x:c r="G80" s="24" t="s">
        <x:v>58</x:v>
      </x:c>
      <x:c r="H80" s="25" t="str">
        <x:f t="shared" si="1">IF(G80&lt;&gt;"","COMPLETE","PENDING")</x:f>
        <x:v>COMPLETE</x:v>
      </x:c>
    </x:row>
    <x:row r="81" ht="14.75">
      <x:c r="A81" s="21">
        <x:v>77</x:v>
      </x:c>
      <x:c r="B81" s="22" t="s">
        <x:v>163</x:v>
      </x:c>
      <x:c r="C81" s="23" t="s">
        <x:v>164</x:v>
      </x:c>
      <x:c r="D81" s="23" t="s">
        <x:v>164</x:v>
      </x:c>
      <x:c r="E81" s="22" t="s">
        <x:v>43</x:v>
      </x:c>
      <x:c r="F81" s="23" t="s">
        <x:v>164</x:v>
      </x:c>
      <x:c r="G81" s="24" t="s">
        <x:v>44</x:v>
      </x:c>
      <x:c r="H81" s="25" t="str">
        <x:f t="shared" si="1">IF(G81&lt;&gt;"","COMPLETE","PENDING")</x:f>
        <x:v>COMPLETE</x:v>
      </x:c>
    </x:row>
    <x:row r="82" ht="14.75">
      <x:c r="A82" s="21">
        <x:v>78</x:v>
      </x:c>
      <x:c r="B82" s="22" t="s">
        <x:v>163</x:v>
      </x:c>
      <x:c r="C82" s="23" t="s">
        <x:v>164</x:v>
      </x:c>
      <x:c r="D82" s="23" t="s">
        <x:v>164</x:v>
      </x:c>
      <x:c r="E82" s="22" t="s">
        <x:v>51</x:v>
      </x:c>
      <x:c r="F82" s="23" t="s">
        <x:v>165</x:v>
      </x:c>
      <x:c r="G82" s="24" t="s">
        <x:v>44</x:v>
      </x:c>
      <x:c r="H82" s="25" t="str">
        <x:f t="shared" si="1">IF(G82&lt;&gt;"","COMPLETE","PENDING")</x:f>
        <x:v>COMPLETE</x:v>
      </x:c>
    </x:row>
    <x:row r="83" ht="14.75">
      <x:c r="A83" s="26">
        <x:v>79</x:v>
      </x:c>
      <x:c r="B83" s="27" t="s">
        <x:v>166</x:v>
      </x:c>
      <x:c r="C83" s="28" t="s">
        <x:v>167</x:v>
      </x:c>
      <x:c r="D83" s="28" t="s">
        <x:v>167</x:v>
      </x:c>
      <x:c r="E83" s="27" t="s">
        <x:v>43</x:v>
      </x:c>
      <x:c r="F83" s="28" t="s">
        <x:v>168</x:v>
      </x:c>
      <x:c r="G83" s="24" t="s">
        <x:v>44</x:v>
      </x:c>
      <x:c r="H83" s="25" t="str">
        <x:f t="shared" si="1">IF(G83&lt;&gt;"","COMPLETE","PENDING")</x:f>
        <x:v>COMPLETE</x:v>
      </x:c>
    </x:row>
    <x:row r="84" ht="14.75">
      <x:c r="A84" s="26">
        <x:v>80</x:v>
      </x:c>
      <x:c r="B84" s="27" t="s">
        <x:v>166</x:v>
      </x:c>
      <x:c r="C84" s="28" t="s">
        <x:v>167</x:v>
      </x:c>
      <x:c r="D84" s="28" t="s">
        <x:v>167</x:v>
      </x:c>
      <x:c r="E84" s="27" t="s">
        <x:v>51</x:v>
      </x:c>
      <x:c r="F84" s="28" t="s">
        <x:v>169</x:v>
      </x:c>
      <x:c r="G84" s="24" t="s">
        <x:v>58</x:v>
      </x:c>
      <x:c r="H84" s="25" t="str">
        <x:f t="shared" si="1">IF(G84&lt;&gt;"","COMPLETE","PENDING")</x:f>
        <x:v>COMPLETE</x:v>
      </x:c>
    </x:row>
    <x:row r="85" ht="14.75">
      <x:c r="A85" s="26">
        <x:v>81</x:v>
      </x:c>
      <x:c r="B85" s="27" t="s">
        <x:v>166</x:v>
      </x:c>
      <x:c r="C85" s="28" t="s">
        <x:v>167</x:v>
      </x:c>
      <x:c r="D85" s="28" t="s">
        <x:v>167</x:v>
      </x:c>
      <x:c r="E85" s="27" t="s">
        <x:v>91</x:v>
      </x:c>
      <x:c r="F85" s="28" t="s">
        <x:v>167</x:v>
      </x:c>
      <x:c r="G85" s="24" t="s">
        <x:v>44</x:v>
      </x:c>
      <x:c r="H85" s="25" t="str">
        <x:f t="shared" si="1">IF(G85&lt;&gt;"","COMPLETE","PENDING")</x:f>
        <x:v>COMPLETE</x:v>
      </x:c>
    </x:row>
    <x:row r="86" ht="29.5">
      <x:c r="A86" s="21">
        <x:v>82</x:v>
      </x:c>
      <x:c r="B86" s="22" t="s">
        <x:v>170</x:v>
      </x:c>
      <x:c r="C86" s="23" t="s">
        <x:v>171</x:v>
      </x:c>
      <x:c r="D86" s="23" t="s">
        <x:v>171</x:v>
      </x:c>
      <x:c r="E86" s="22" t="s">
        <x:v>43</x:v>
      </x:c>
      <x:c r="F86" s="23" t="s">
        <x:v>172</x:v>
      </x:c>
      <x:c r="G86" s="24" t="s">
        <x:v>44</x:v>
      </x:c>
      <x:c r="H86" s="25" t="str">
        <x:f t="shared" si="1">IF(G86&lt;&gt;"","COMPLETE","PENDING")</x:f>
        <x:v>COMPLETE</x:v>
      </x:c>
    </x:row>
    <x:row r="87" ht="29.5">
      <x:c r="A87" s="21">
        <x:v>83</x:v>
      </x:c>
      <x:c r="B87" s="22" t="s">
        <x:v>170</x:v>
      </x:c>
      <x:c r="C87" s="23" t="s">
        <x:v>171</x:v>
      </x:c>
      <x:c r="D87" s="23" t="s">
        <x:v>171</x:v>
      </x:c>
      <x:c r="E87" s="22" t="s">
        <x:v>51</x:v>
      </x:c>
      <x:c r="F87" s="23" t="s">
        <x:v>171</x:v>
      </x:c>
      <x:c r="G87" s="24" t="s">
        <x:v>44</x:v>
      </x:c>
      <x:c r="H87" s="25" t="str">
        <x:f t="shared" si="1">IF(G87&lt;&gt;"","COMPLETE","PENDING")</x:f>
        <x:v>COMPLETE</x:v>
      </x:c>
    </x:row>
    <x:row r="88" ht="14.75">
      <x:c r="A88" s="26">
        <x:v>84</x:v>
      </x:c>
      <x:c r="B88" s="27" t="s">
        <x:v>173</x:v>
      </x:c>
      <x:c r="C88" s="28" t="s">
        <x:v>174</x:v>
      </x:c>
      <x:c r="D88" s="28" t="s">
        <x:v>174</x:v>
      </x:c>
      <x:c r="E88" s="27" t="s">
        <x:v>43</x:v>
      </x:c>
      <x:c r="F88" s="28" t="s">
        <x:v>175</x:v>
      </x:c>
      <x:c r="G88" s="24" t="s">
        <x:v>44</x:v>
      </x:c>
      <x:c r="H88" s="25" t="str">
        <x:f t="shared" si="1">IF(G88&lt;&gt;"","COMPLETE","PENDING")</x:f>
        <x:v>COMPLETE</x:v>
      </x:c>
    </x:row>
    <x:row r="89" ht="14.75">
      <x:c r="A89" s="26">
        <x:v>85</x:v>
      </x:c>
      <x:c r="B89" s="27" t="s">
        <x:v>173</x:v>
      </x:c>
      <x:c r="C89" s="28" t="s">
        <x:v>174</x:v>
      </x:c>
      <x:c r="D89" s="28" t="s">
        <x:v>174</x:v>
      </x:c>
      <x:c r="E89" s="27" t="s">
        <x:v>51</x:v>
      </x:c>
      <x:c r="F89" s="28" t="s">
        <x:v>174</x:v>
      </x:c>
      <x:c r="G89" s="24" t="s">
        <x:v>44</x:v>
      </x:c>
      <x:c r="H89" s="25" t="str">
        <x:f t="shared" si="1">IF(G89&lt;&gt;"","COMPLETE","PENDING")</x:f>
        <x:v>COMPLETE</x:v>
      </x:c>
    </x:row>
    <x:row r="90" ht="14.75">
      <x:c r="A90" s="21">
        <x:v>86</x:v>
      </x:c>
      <x:c r="B90" s="22" t="s">
        <x:v>176</x:v>
      </x:c>
      <x:c r="C90" s="23" t="s">
        <x:v>177</x:v>
      </x:c>
      <x:c r="D90" s="23" t="s">
        <x:v>177</x:v>
      </x:c>
      <x:c r="E90" s="22" t="s">
        <x:v>43</x:v>
      </x:c>
      <x:c r="F90" s="23" t="s">
        <x:v>177</x:v>
      </x:c>
      <x:c r="G90" s="24" t="s">
        <x:v>44</x:v>
      </x:c>
      <x:c r="H90" s="25" t="str">
        <x:f t="shared" si="1">IF(G90&lt;&gt;"","COMPLETE","PENDING")</x:f>
        <x:v>COMPLETE</x:v>
      </x:c>
    </x:row>
    <x:row r="91" ht="14.75">
      <x:c r="A91" s="21">
        <x:v>87</x:v>
      </x:c>
      <x:c r="B91" s="22" t="s">
        <x:v>176</x:v>
      </x:c>
      <x:c r="C91" s="23" t="s">
        <x:v>177</x:v>
      </x:c>
      <x:c r="D91" s="23" t="s">
        <x:v>177</x:v>
      </x:c>
      <x:c r="E91" s="22" t="s">
        <x:v>51</x:v>
      </x:c>
      <x:c r="F91" s="23" t="s">
        <x:v>178</x:v>
      </x:c>
      <x:c r="G91" s="24" t="s">
        <x:v>44</x:v>
      </x:c>
      <x:c r="H91" s="25" t="str">
        <x:f t="shared" si="1">IF(G91&lt;&gt;"","COMPLETE","PENDING")</x:f>
        <x:v>COMPLETE</x:v>
      </x:c>
    </x:row>
    <x:row r="92" ht="14.75">
      <x:c r="A92" s="26">
        <x:v>88</x:v>
      </x:c>
      <x:c r="B92" s="27" t="s">
        <x:v>179</x:v>
      </x:c>
      <x:c r="C92" s="28" t="s">
        <x:v>180</x:v>
      </x:c>
      <x:c r="D92" s="28" t="s">
        <x:v>180</x:v>
      </x:c>
      <x:c r="E92" s="27" t="s">
        <x:v>43</x:v>
      </x:c>
      <x:c r="F92" s="28" t="s">
        <x:v>181</x:v>
      </x:c>
      <x:c r="G92" s="24" t="s">
        <x:v>44</x:v>
      </x:c>
      <x:c r="H92" s="25" t="str">
        <x:f t="shared" si="1">IF(G92&lt;&gt;"","COMPLETE","PENDING")</x:f>
        <x:v>COMPLETE</x:v>
      </x:c>
    </x:row>
    <x:row r="93" ht="14.75">
      <x:c r="A93" s="26">
        <x:v>89</x:v>
      </x:c>
      <x:c r="B93" s="27" t="s">
        <x:v>179</x:v>
      </x:c>
      <x:c r="C93" s="28" t="s">
        <x:v>180</x:v>
      </x:c>
      <x:c r="D93" s="28" t="s">
        <x:v>180</x:v>
      </x:c>
      <x:c r="E93" s="27" t="s">
        <x:v>51</x:v>
      </x:c>
      <x:c r="F93" s="28" t="s">
        <x:v>180</x:v>
      </x:c>
      <x:c r="G93" s="24" t="s">
        <x:v>44</x:v>
      </x:c>
      <x:c r="H93" s="25" t="str">
        <x:f t="shared" si="1">IF(G93&lt;&gt;"","COMPLETE","PENDING")</x:f>
        <x:v>COMPLETE</x:v>
      </x:c>
    </x:row>
    <x:row r="94" ht="14.75">
      <x:c r="A94" s="21">
        <x:v>90</x:v>
      </x:c>
      <x:c r="B94" s="22" t="s">
        <x:v>182</x:v>
      </x:c>
      <x:c r="C94" s="23" t="s">
        <x:v>183</x:v>
      </x:c>
      <x:c r="D94" s="23" t="s">
        <x:v>183</x:v>
      </x:c>
      <x:c r="E94" s="22" t="s">
        <x:v>43</x:v>
      </x:c>
      <x:c r="F94" s="23" t="s">
        <x:v>184</x:v>
      </x:c>
      <x:c r="G94" s="24" t="s">
        <x:v>44</x:v>
      </x:c>
      <x:c r="H94" s="25" t="str">
        <x:f t="shared" si="1">IF(G94&lt;&gt;"","COMPLETE","PENDING")</x:f>
        <x:v>COMPLETE</x:v>
      </x:c>
    </x:row>
    <x:row r="95" ht="14.75">
      <x:c r="A95" s="21">
        <x:v>91</x:v>
      </x:c>
      <x:c r="B95" s="22" t="s">
        <x:v>182</x:v>
      </x:c>
      <x:c r="C95" s="23" t="s">
        <x:v>183</x:v>
      </x:c>
      <x:c r="D95" s="23" t="s">
        <x:v>183</x:v>
      </x:c>
      <x:c r="E95" s="22" t="s">
        <x:v>51</x:v>
      </x:c>
      <x:c r="F95" s="23" t="s">
        <x:v>183</x:v>
      </x:c>
      <x:c r="G95" s="24" t="s">
        <x:v>44</x:v>
      </x:c>
      <x:c r="H95" s="25" t="str">
        <x:f t="shared" si="1">IF(G95&lt;&gt;"","COMPLETE","PENDING")</x:f>
        <x:v>COMPLETE</x:v>
      </x:c>
    </x:row>
    <x:row r="96" ht="14.75">
      <x:c r="A96" s="26">
        <x:v>92</x:v>
      </x:c>
      <x:c r="B96" s="27" t="s">
        <x:v>185</x:v>
      </x:c>
      <x:c r="C96" s="28" t="s">
        <x:v>186</x:v>
      </x:c>
      <x:c r="D96" s="28" t="s">
        <x:v>186</x:v>
      </x:c>
      <x:c r="E96" s="27" t="s">
        <x:v>43</x:v>
      </x:c>
      <x:c r="F96" s="28" t="s">
        <x:v>186</x:v>
      </x:c>
      <x:c r="G96" s="24" t="s">
        <x:v>44</x:v>
      </x:c>
      <x:c r="H96" s="25" t="str">
        <x:f t="shared" si="1">IF(G96&lt;&gt;"","COMPLETE","PENDING")</x:f>
        <x:v>COMPLETE</x:v>
      </x:c>
    </x:row>
    <x:row r="97" ht="14.75">
      <x:c r="A97" s="21">
        <x:v>93</x:v>
      </x:c>
      <x:c r="B97" s="22" t="s">
        <x:v>187</x:v>
      </x:c>
      <x:c r="C97" s="23" t="s">
        <x:v>188</x:v>
      </x:c>
      <x:c r="D97" s="23" t="s">
        <x:v>188</x:v>
      </x:c>
      <x:c r="E97" s="22" t="s">
        <x:v>43</x:v>
      </x:c>
      <x:c r="F97" s="23" t="s">
        <x:v>188</x:v>
      </x:c>
      <x:c r="G97" s="24" t="s">
        <x:v>44</x:v>
      </x:c>
      <x:c r="H97" s="25" t="str">
        <x:f t="shared" si="1">IF(G97&lt;&gt;"","COMPLETE","PENDING")</x:f>
        <x:v>COMPLETE</x:v>
      </x:c>
    </x:row>
    <x:row r="98" ht="14.75">
      <x:c r="A98" s="21">
        <x:v>94</x:v>
      </x:c>
      <x:c r="B98" s="22" t="s">
        <x:v>187</x:v>
      </x:c>
      <x:c r="C98" s="23" t="s">
        <x:v>188</x:v>
      </x:c>
      <x:c r="D98" s="23" t="s">
        <x:v>188</x:v>
      </x:c>
      <x:c r="E98" s="22" t="s">
        <x:v>51</x:v>
      </x:c>
      <x:c r="F98" s="23" t="s">
        <x:v>189</x:v>
      </x:c>
      <x:c r="G98" s="24" t="s">
        <x:v>44</x:v>
      </x:c>
      <x:c r="H98" s="25" t="str">
        <x:f t="shared" si="1">IF(G98&lt;&gt;"","COMPLETE","PENDING")</x:f>
        <x:v>COMPLETE</x:v>
      </x:c>
    </x:row>
    <x:row r="99" ht="14.75">
      <x:c r="A99" s="26">
        <x:v>95</x:v>
      </x:c>
      <x:c r="B99" s="27" t="s">
        <x:v>190</x:v>
      </x:c>
      <x:c r="C99" s="28" t="s">
        <x:v>191</x:v>
      </x:c>
      <x:c r="D99" s="28" t="s">
        <x:v>191</x:v>
      </x:c>
      <x:c r="E99" s="27" t="s">
        <x:v>43</x:v>
      </x:c>
      <x:c r="F99" s="28" t="s">
        <x:v>191</x:v>
      </x:c>
      <x:c r="G99" s="24" t="s">
        <x:v>44</x:v>
      </x:c>
      <x:c r="H99" s="25" t="str">
        <x:f t="shared" si="1">IF(G99&lt;&gt;"","COMPLETE","PENDING")</x:f>
        <x:v>COMPLETE</x:v>
      </x:c>
    </x:row>
    <x:row r="100" ht="14.75">
      <x:c r="A100" s="21">
        <x:v>96</x:v>
      </x:c>
      <x:c r="B100" s="22" t="s">
        <x:v>192</x:v>
      </x:c>
      <x:c r="C100" s="23" t="s">
        <x:v>193</x:v>
      </x:c>
      <x:c r="D100" s="23" t="s">
        <x:v>193</x:v>
      </x:c>
      <x:c r="E100" s="22" t="s">
        <x:v>43</x:v>
      </x:c>
      <x:c r="F100" s="23" t="s">
        <x:v>194</x:v>
      </x:c>
      <x:c r="G100" s="24" t="s">
        <x:v>44</x:v>
      </x:c>
      <x:c r="H100" s="25" t="str">
        <x:f t="shared" si="1">IF(G100&lt;&gt;"","COMPLETE","PENDING")</x:f>
        <x:v>COMPLETE</x:v>
      </x:c>
    </x:row>
    <x:row r="101" ht="14.75">
      <x:c r="A101" s="21">
        <x:v>97</x:v>
      </x:c>
      <x:c r="B101" s="22" t="s">
        <x:v>192</x:v>
      </x:c>
      <x:c r="C101" s="23" t="s">
        <x:v>193</x:v>
      </x:c>
      <x:c r="D101" s="23" t="s">
        <x:v>193</x:v>
      </x:c>
      <x:c r="E101" s="22" t="s">
        <x:v>51</x:v>
      </x:c>
      <x:c r="F101" s="23" t="s">
        <x:v>193</x:v>
      </x:c>
      <x:c r="G101" s="24" t="s">
        <x:v>44</x:v>
      </x:c>
      <x:c r="H101" s="25" t="str">
        <x:f t="shared" si="1">IF(G101&lt;&gt;"","COMPLETE","PENDING")</x:f>
        <x:v>COMPLETE</x:v>
      </x:c>
    </x:row>
    <x:row r="102" ht="14.75">
      <x:c r="A102" s="26">
        <x:v>98</x:v>
      </x:c>
      <x:c r="B102" s="27" t="s">
        <x:v>195</x:v>
      </x:c>
      <x:c r="C102" s="28" t="s">
        <x:v>196</x:v>
      </x:c>
      <x:c r="D102" s="28" t="s">
        <x:v>196</x:v>
      </x:c>
      <x:c r="E102" s="27" t="s">
        <x:v>43</x:v>
      </x:c>
      <x:c r="F102" s="28" t="s">
        <x:v>196</x:v>
      </x:c>
      <x:c r="G102" s="24" t="s">
        <x:v>44</x:v>
      </x:c>
      <x:c r="H102" s="25" t="str">
        <x:f t="shared" si="1">IF(G102&lt;&gt;"","COMPLETE","PENDING")</x:f>
        <x:v>COMPLETE</x:v>
      </x:c>
    </x:row>
    <x:row r="103" ht="14.75">
      <x:c r="A103" s="21">
        <x:v>99</x:v>
      </x:c>
      <x:c r="B103" s="22" t="s">
        <x:v>197</x:v>
      </x:c>
      <x:c r="C103" s="23" t="s">
        <x:v>198</x:v>
      </x:c>
      <x:c r="D103" s="23" t="s">
        <x:v>198</x:v>
      </x:c>
      <x:c r="E103" s="22" t="s">
        <x:v>43</x:v>
      </x:c>
      <x:c r="F103" s="23" t="s">
        <x:v>198</x:v>
      </x:c>
      <x:c r="G103" s="24" t="s">
        <x:v>44</x:v>
      </x:c>
      <x:c r="H103" s="25" t="str">
        <x:f t="shared" si="1">IF(G103&lt;&gt;"","COMPLETE","PENDING")</x:f>
        <x:v>COMPLETE</x:v>
      </x:c>
    </x:row>
    <x:row r="104" ht="14.75">
      <x:c r="A104" s="21">
        <x:v>100</x:v>
      </x:c>
      <x:c r="B104" s="22" t="s">
        <x:v>197</x:v>
      </x:c>
      <x:c r="C104" s="23" t="s">
        <x:v>198</x:v>
      </x:c>
      <x:c r="D104" s="23" t="s">
        <x:v>198</x:v>
      </x:c>
      <x:c r="E104" s="22" t="s">
        <x:v>51</x:v>
      </x:c>
      <x:c r="F104" s="23" t="s">
        <x:v>199</x:v>
      </x:c>
      <x:c r="G104" s="24" t="s">
        <x:v>44</x:v>
      </x:c>
      <x:c r="H104" s="25" t="str">
        <x:f t="shared" si="1">IF(G104&lt;&gt;"","COMPLETE","PENDING")</x:f>
        <x:v>COMPLETE</x:v>
      </x:c>
    </x:row>
    <x:row r="105" ht="14.75">
      <x:c r="A105" s="26">
        <x:v>101</x:v>
      </x:c>
      <x:c r="B105" s="27" t="s">
        <x:v>200</x:v>
      </x:c>
      <x:c r="C105" s="28" t="s">
        <x:v>201</x:v>
      </x:c>
      <x:c r="D105" s="28" t="s">
        <x:v>201</x:v>
      </x:c>
      <x:c r="E105" s="27" t="s">
        <x:v>43</x:v>
      </x:c>
      <x:c r="F105" s="28" t="s">
        <x:v>201</x:v>
      </x:c>
      <x:c r="G105" s="24" t="s">
        <x:v>44</x:v>
      </x:c>
      <x:c r="H105" s="25" t="str">
        <x:f t="shared" si="1">IF(G105&lt;&gt;"","COMPLETE","PENDING")</x:f>
        <x:v>COMPLETE</x:v>
      </x:c>
    </x:row>
    <x:row r="106" ht="14.75">
      <x:c r="A106" s="26">
        <x:v>102</x:v>
      </x:c>
      <x:c r="B106" s="27" t="s">
        <x:v>200</x:v>
      </x:c>
      <x:c r="C106" s="28" t="s">
        <x:v>201</x:v>
      </x:c>
      <x:c r="D106" s="28" t="s">
        <x:v>201</x:v>
      </x:c>
      <x:c r="E106" s="27" t="s">
        <x:v>51</x:v>
      </x:c>
      <x:c r="F106" s="28" t="s">
        <x:v>202</x:v>
      </x:c>
      <x:c r="G106" s="24" t="s">
        <x:v>44</x:v>
      </x:c>
      <x:c r="H106" s="25" t="str">
        <x:f t="shared" si="1">IF(G106&lt;&gt;"","COMPLETE","PENDING")</x:f>
        <x:v>COMPLETE</x:v>
      </x:c>
    </x:row>
    <x:row r="107" ht="14.75">
      <x:c r="A107" s="21">
        <x:v>103</x:v>
      </x:c>
      <x:c r="B107" s="22" t="s">
        <x:v>203</x:v>
      </x:c>
      <x:c r="C107" s="23" t="s">
        <x:v>204</x:v>
      </x:c>
      <x:c r="D107" s="23" t="s">
        <x:v>204</x:v>
      </x:c>
      <x:c r="E107" s="22" t="s">
        <x:v>43</x:v>
      </x:c>
      <x:c r="F107" s="23" t="s">
        <x:v>204</x:v>
      </x:c>
      <x:c r="G107" s="24" t="s">
        <x:v>44</x:v>
      </x:c>
      <x:c r="H107" s="25" t="str">
        <x:f t="shared" si="1">IF(G107&lt;&gt;"","COMPLETE","PENDING")</x:f>
        <x:v>COMPLETE</x:v>
      </x:c>
    </x:row>
    <x:row r="108" ht="14.75">
      <x:c r="A108" s="21">
        <x:v>104</x:v>
      </x:c>
      <x:c r="B108" s="22" t="s">
        <x:v>203</x:v>
      </x:c>
      <x:c r="C108" s="23" t="s">
        <x:v>204</x:v>
      </x:c>
      <x:c r="D108" s="23" t="s">
        <x:v>204</x:v>
      </x:c>
      <x:c r="E108" s="22" t="s">
        <x:v>51</x:v>
      </x:c>
      <x:c r="F108" s="23" t="s">
        <x:v>205</x:v>
      </x:c>
      <x:c r="G108" s="24" t="s">
        <x:v>44</x:v>
      </x:c>
      <x:c r="H108" s="25" t="str">
        <x:f t="shared" si="1">IF(G108&lt;&gt;"","COMPLETE","PENDING")</x:f>
        <x:v>COMPLETE</x:v>
      </x:c>
    </x:row>
    <x:row r="109" ht="29.5">
      <x:c r="A109" s="26">
        <x:v>105</x:v>
      </x:c>
      <x:c r="B109" s="27" t="s">
        <x:v>206</x:v>
      </x:c>
      <x:c r="C109" s="28" t="s">
        <x:v>161</x:v>
      </x:c>
      <x:c r="D109" s="28" t="s">
        <x:v>120</x:v>
      </x:c>
      <x:c r="E109" s="27" t="s">
        <x:v>43</x:v>
      </x:c>
      <x:c r="F109" s="28" t="s">
        <x:v>121</x:v>
      </x:c>
      <x:c r="G109" s="24" t="s">
        <x:v>44</x:v>
      </x:c>
      <x:c r="H109" s="25" t="str">
        <x:f t="shared" si="1">IF(G109&lt;&gt;"","COMPLETE","PENDING")</x:f>
        <x:v>COMPLETE</x:v>
      </x:c>
    </x:row>
    <x:row r="110" ht="29.5">
      <x:c r="A110" s="26">
        <x:v>106</x:v>
      </x:c>
      <x:c r="B110" s="27" t="s">
        <x:v>206</x:v>
      </x:c>
      <x:c r="C110" s="28" t="s">
        <x:v>161</x:v>
      </x:c>
      <x:c r="D110" s="28" t="s">
        <x:v>120</x:v>
      </x:c>
      <x:c r="E110" s="27" t="s">
        <x:v>51</x:v>
      </x:c>
      <x:c r="F110" s="28" t="s">
        <x:v>120</x:v>
      </x:c>
      <x:c r="G110" s="24" t="s">
        <x:v>44</x:v>
      </x:c>
      <x:c r="H110" s="25" t="str">
        <x:f t="shared" si="1">IF(G110&lt;&gt;"","COMPLETE","PENDING")</x:f>
        <x:v>COMPLETE</x:v>
      </x:c>
    </x:row>
    <x:row r="111" ht="29.5">
      <x:c r="A111" s="21">
        <x:v>107</x:v>
      </x:c>
      <x:c r="B111" s="22" t="s">
        <x:v>207</x:v>
      </x:c>
      <x:c r="C111" s="23" t="s">
        <x:v>161</x:v>
      </x:c>
      <x:c r="D111" s="23" t="s">
        <x:v>120</x:v>
      </x:c>
      <x:c r="E111" s="22" t="s">
        <x:v>43</x:v>
      </x:c>
      <x:c r="F111" s="23" t="s">
        <x:v>120</x:v>
      </x:c>
      <x:c r="G111" s="24" t="s">
        <x:v>44</x:v>
      </x:c>
      <x:c r="H111" s="25" t="str">
        <x:f t="shared" si="1">IF(G111&lt;&gt;"","COMPLETE","PENDING")</x:f>
        <x:v>COMPLETE</x:v>
      </x:c>
    </x:row>
    <x:row r="112" ht="29.5">
      <x:c r="A112" s="21">
        <x:v>108</x:v>
      </x:c>
      <x:c r="B112" s="22" t="s">
        <x:v>207</x:v>
      </x:c>
      <x:c r="C112" s="23" t="s">
        <x:v>161</x:v>
      </x:c>
      <x:c r="D112" s="23" t="s">
        <x:v>120</x:v>
      </x:c>
      <x:c r="E112" s="22" t="s">
        <x:v>51</x:v>
      </x:c>
      <x:c r="F112" s="23" t="s">
        <x:v>121</x:v>
      </x:c>
      <x:c r="G112" s="24" t="s">
        <x:v>44</x:v>
      </x:c>
      <x:c r="H112" s="25" t="str">
        <x:f t="shared" si="1">IF(G112&lt;&gt;"","COMPLETE","PENDING")</x:f>
        <x:v>COMPLETE</x:v>
      </x:c>
    </x:row>
    <x:row r="113" ht="14.75">
      <x:c r="A113" s="26">
        <x:v>109</x:v>
      </x:c>
      <x:c r="B113" s="27" t="s">
        <x:v>208</x:v>
      </x:c>
      <x:c r="C113" s="28" t="s">
        <x:v>209</x:v>
      </x:c>
      <x:c r="D113" s="28" t="s">
        <x:v>209</x:v>
      </x:c>
      <x:c r="E113" s="27" t="s">
        <x:v>43</x:v>
      </x:c>
      <x:c r="F113" s="28" t="s">
        <x:v>209</x:v>
      </x:c>
      <x:c r="G113" s="24" t="s">
        <x:v>44</x:v>
      </x:c>
      <x:c r="H113" s="25" t="str">
        <x:f t="shared" si="1">IF(G113&lt;&gt;"","COMPLETE","PENDING")</x:f>
        <x:v>COMPLETE</x:v>
      </x:c>
    </x:row>
    <x:row r="114" ht="14.75">
      <x:c r="A114" s="26">
        <x:v>110</x:v>
      </x:c>
      <x:c r="B114" s="27" t="s">
        <x:v>208</x:v>
      </x:c>
      <x:c r="C114" s="28" t="s">
        <x:v>209</x:v>
      </x:c>
      <x:c r="D114" s="28" t="s">
        <x:v>209</x:v>
      </x:c>
      <x:c r="E114" s="27" t="s">
        <x:v>51</x:v>
      </x:c>
      <x:c r="F114" s="28" t="s">
        <x:v>210</x:v>
      </x:c>
      <x:c r="G114" s="24" t="s">
        <x:v>44</x:v>
      </x:c>
      <x:c r="H114" s="25" t="str">
        <x:f t="shared" si="1">IF(G114&lt;&gt;"","COMPLETE","PENDING")</x:f>
        <x:v>COMPLETE</x:v>
      </x:c>
    </x:row>
    <x:row r="115" ht="14.75">
      <x:c r="A115" s="21">
        <x:v>111</x:v>
      </x:c>
      <x:c r="B115" s="22" t="s">
        <x:v>211</x:v>
      </x:c>
      <x:c r="C115" s="23" t="s">
        <x:v>212</x:v>
      </x:c>
      <x:c r="D115" s="23" t="s">
        <x:v>212</x:v>
      </x:c>
      <x:c r="E115" s="22" t="s">
        <x:v>43</x:v>
      </x:c>
      <x:c r="F115" s="23" t="s">
        <x:v>213</x:v>
      </x:c>
      <x:c r="G115" s="24" t="s">
        <x:v>44</x:v>
      </x:c>
      <x:c r="H115" s="25" t="str">
        <x:f t="shared" si="1">IF(G115&lt;&gt;"","COMPLETE","PENDING")</x:f>
        <x:v>COMPLETE</x:v>
      </x:c>
    </x:row>
    <x:row r="116" ht="14.75">
      <x:c r="A116" s="21">
        <x:v>112</x:v>
      </x:c>
      <x:c r="B116" s="22" t="s">
        <x:v>211</x:v>
      </x:c>
      <x:c r="C116" s="23" t="s">
        <x:v>212</x:v>
      </x:c>
      <x:c r="D116" s="23" t="s">
        <x:v>212</x:v>
      </x:c>
      <x:c r="E116" s="22" t="s">
        <x:v>51</x:v>
      </x:c>
      <x:c r="F116" s="23" t="s">
        <x:v>212</x:v>
      </x:c>
      <x:c r="G116" s="24" t="s">
        <x:v>44</x:v>
      </x:c>
      <x:c r="H116" s="25" t="str">
        <x:f t="shared" si="1">IF(G116&lt;&gt;"","COMPLETE","PENDING")</x:f>
        <x:v>COMPLETE</x:v>
      </x:c>
    </x:row>
    <x:row r="117" ht="14.75">
      <x:c r="A117" s="26">
        <x:v>113</x:v>
      </x:c>
      <x:c r="B117" s="27" t="s">
        <x:v>214</x:v>
      </x:c>
      <x:c r="C117" s="28" t="s">
        <x:v>109</x:v>
      </x:c>
      <x:c r="D117" s="28" t="s">
        <x:v>109</x:v>
      </x:c>
      <x:c r="E117" s="27" t="s">
        <x:v>43</x:v>
      </x:c>
      <x:c r="F117" s="28" t="s">
        <x:v>109</x:v>
      </x:c>
      <x:c r="G117" s="24" t="s">
        <x:v>58</x:v>
      </x:c>
      <x:c r="H117" s="25" t="str">
        <x:f t="shared" si="1">IF(G117&lt;&gt;"","COMPLETE","PENDING")</x:f>
        <x:v>COMPLETE</x:v>
      </x:c>
    </x:row>
    <x:row r="118" ht="14.75">
      <x:c r="A118" s="21">
        <x:v>114</x:v>
      </x:c>
      <x:c r="B118" s="22" t="s">
        <x:v>215</x:v>
      </x:c>
      <x:c r="C118" s="23" t="s">
        <x:v>65</x:v>
      </x:c>
      <x:c r="D118" s="23" t="s">
        <x:v>65</x:v>
      </x:c>
      <x:c r="E118" s="22" t="s">
        <x:v>43</x:v>
      </x:c>
      <x:c r="F118" s="23" t="s">
        <x:v>65</x:v>
      </x:c>
      <x:c r="G118" s="24" t="s">
        <x:v>58</x:v>
      </x:c>
      <x:c r="H118" s="25" t="str">
        <x:f t="shared" si="1">IF(G118&lt;&gt;"","COMPLETE","PENDING")</x:f>
        <x:v>COMPLETE</x:v>
      </x:c>
    </x:row>
    <x:row r="119" ht="14.75">
      <x:c r="A119" s="26">
        <x:v>115</x:v>
      </x:c>
      <x:c r="B119" s="27" t="s">
        <x:v>216</x:v>
      </x:c>
      <x:c r="C119" s="28" t="s">
        <x:v>217</x:v>
      </x:c>
      <x:c r="D119" s="28" t="s">
        <x:v>217</x:v>
      </x:c>
      <x:c r="E119" s="27" t="s">
        <x:v>43</x:v>
      </x:c>
      <x:c r="F119" s="28" t="s">
        <x:v>218</x:v>
      </x:c>
      <x:c r="G119" s="24" t="s">
        <x:v>44</x:v>
      </x:c>
      <x:c r="H119" s="25" t="str">
        <x:f t="shared" si="1">IF(G119&lt;&gt;"","COMPLETE","PENDING")</x:f>
        <x:v>COMPLETE</x:v>
      </x:c>
    </x:row>
    <x:row r="120" ht="14.75">
      <x:c r="A120" s="26">
        <x:v>116</x:v>
      </x:c>
      <x:c r="B120" s="27" t="s">
        <x:v>216</x:v>
      </x:c>
      <x:c r="C120" s="28" t="s">
        <x:v>217</x:v>
      </x:c>
      <x:c r="D120" s="28" t="s">
        <x:v>217</x:v>
      </x:c>
      <x:c r="E120" s="27" t="s">
        <x:v>51</x:v>
      </x:c>
      <x:c r="F120" s="28" t="s">
        <x:v>217</x:v>
      </x:c>
      <x:c r="G120" s="24" t="s">
        <x:v>44</x:v>
      </x:c>
      <x:c r="H120" s="25" t="str">
        <x:f t="shared" si="1">IF(G120&lt;&gt;"","COMPLETE","PENDING")</x:f>
        <x:v>COMPLETE</x:v>
      </x:c>
    </x:row>
    <x:row r="121" ht="14.75">
      <x:c r="A121" s="21">
        <x:v>117</x:v>
      </x:c>
      <x:c r="B121" s="22" t="s">
        <x:v>219</x:v>
      </x:c>
      <x:c r="C121" s="23" t="s">
        <x:v>220</x:v>
      </x:c>
      <x:c r="D121" s="23" t="s">
        <x:v>220</x:v>
      </x:c>
      <x:c r="E121" s="22" t="s">
        <x:v>43</x:v>
      </x:c>
      <x:c r="F121" s="23" t="s">
        <x:v>220</x:v>
      </x:c>
      <x:c r="G121" s="24" t="s">
        <x:v>44</x:v>
      </x:c>
      <x:c r="H121" s="25" t="str">
        <x:f t="shared" si="1">IF(G121&lt;&gt;"","COMPLETE","PENDING")</x:f>
        <x:v>COMPLETE</x:v>
      </x:c>
    </x:row>
    <x:row r="122" ht="14.75">
      <x:c r="A122" s="21">
        <x:v>118</x:v>
      </x:c>
      <x:c r="B122" s="22" t="s">
        <x:v>219</x:v>
      </x:c>
      <x:c r="C122" s="23" t="s">
        <x:v>220</x:v>
      </x:c>
      <x:c r="D122" s="23" t="s">
        <x:v>220</x:v>
      </x:c>
      <x:c r="E122" s="22" t="s">
        <x:v>51</x:v>
      </x:c>
      <x:c r="F122" s="23" t="s">
        <x:v>221</x:v>
      </x:c>
      <x:c r="G122" s="24" t="s">
        <x:v>44</x:v>
      </x:c>
      <x:c r="H122" s="25" t="str">
        <x:f t="shared" si="1">IF(G122&lt;&gt;"","COMPLETE","PENDING")</x:f>
        <x:v>COMPLETE</x:v>
      </x:c>
    </x:row>
    <x:row r="123" ht="14.75">
      <x:c r="A123" s="26">
        <x:v>119</x:v>
      </x:c>
      <x:c r="B123" s="27" t="s">
        <x:v>222</x:v>
      </x:c>
      <x:c r="C123" s="28" t="s">
        <x:v>223</x:v>
      </x:c>
      <x:c r="D123" s="28" t="s">
        <x:v>223</x:v>
      </x:c>
      <x:c r="E123" s="27" t="s">
        <x:v>43</x:v>
      </x:c>
      <x:c r="F123" s="28" t="s">
        <x:v>223</x:v>
      </x:c>
      <x:c r="G123" s="24" t="s">
        <x:v>44</x:v>
      </x:c>
      <x:c r="H123" s="25" t="str">
        <x:f t="shared" si="1">IF(G123&lt;&gt;"","COMPLETE","PENDING")</x:f>
        <x:v>COMPLETE</x:v>
      </x:c>
    </x:row>
    <x:row r="124" ht="14.75">
      <x:c r="A124" s="21">
        <x:v>120</x:v>
      </x:c>
      <x:c r="B124" s="22" t="s">
        <x:v>224</x:v>
      </x:c>
      <x:c r="C124" s="23" t="s">
        <x:v>80</x:v>
      </x:c>
      <x:c r="D124" s="23" t="s">
        <x:v>80</x:v>
      </x:c>
      <x:c r="E124" s="22" t="s">
        <x:v>43</x:v>
      </x:c>
      <x:c r="F124" s="23" t="s">
        <x:v>80</x:v>
      </x:c>
      <x:c r="G124" s="24" t="s">
        <x:v>44</x:v>
      </x:c>
      <x:c r="H124" s="25" t="str">
        <x:f t="shared" si="1">IF(G124&lt;&gt;"","COMPLETE","PENDING")</x:f>
        <x:v>COMPLETE</x:v>
      </x:c>
    </x:row>
    <x:row r="125" ht="14.75">
      <x:c r="A125" s="26">
        <x:v>121</x:v>
      </x:c>
      <x:c r="B125" s="27" t="s">
        <x:v>225</x:v>
      </x:c>
      <x:c r="C125" s="28" t="s">
        <x:v>226</x:v>
      </x:c>
      <x:c r="D125" s="28" t="s">
        <x:v>226</x:v>
      </x:c>
      <x:c r="E125" s="27" t="s">
        <x:v>43</x:v>
      </x:c>
      <x:c r="F125" s="28" t="s">
        <x:v>226</x:v>
      </x:c>
      <x:c r="G125" s="24" t="s">
        <x:v>44</x:v>
      </x:c>
      <x:c r="H125" s="25" t="str">
        <x:f t="shared" si="1">IF(G125&lt;&gt;"","COMPLETE","PENDING")</x:f>
        <x:v>COMPLETE</x:v>
      </x:c>
    </x:row>
    <x:row r="126" ht="14.75">
      <x:c r="A126" s="26">
        <x:v>122</x:v>
      </x:c>
      <x:c r="B126" s="27" t="s">
        <x:v>225</x:v>
      </x:c>
      <x:c r="C126" s="28" t="s">
        <x:v>226</x:v>
      </x:c>
      <x:c r="D126" s="28" t="s">
        <x:v>226</x:v>
      </x:c>
      <x:c r="E126" s="27" t="s">
        <x:v>51</x:v>
      </x:c>
      <x:c r="F126" s="28" t="s">
        <x:v>227</x:v>
      </x:c>
      <x:c r="G126" s="24" t="s">
        <x:v>44</x:v>
      </x:c>
      <x:c r="H126" s="25" t="str">
        <x:f t="shared" si="1">IF(G126&lt;&gt;"","COMPLETE","PENDING")</x:f>
        <x:v>COMPLETE</x:v>
      </x:c>
    </x:row>
    <x:row r="127" ht="14.75">
      <x:c r="A127" s="21">
        <x:v>123</x:v>
      </x:c>
      <x:c r="B127" s="22" t="s">
        <x:v>228</x:v>
      </x:c>
      <x:c r="C127" s="23" t="s">
        <x:v>103</x:v>
      </x:c>
      <x:c r="D127" s="23" t="s">
        <x:v>103</x:v>
      </x:c>
      <x:c r="E127" s="22" t="s">
        <x:v>43</x:v>
      </x:c>
      <x:c r="F127" s="23" t="s">
        <x:v>103</x:v>
      </x:c>
      <x:c r="G127" s="24" t="s">
        <x:v>44</x:v>
      </x:c>
      <x:c r="H127" s="25" t="str">
        <x:f t="shared" si="1">IF(G127&lt;&gt;"","COMPLETE","PENDING")</x:f>
        <x:v>COMPLETE</x:v>
      </x:c>
    </x:row>
    <x:row r="128" ht="14.75">
      <x:c r="A128" s="21">
        <x:v>124</x:v>
      </x:c>
      <x:c r="B128" s="22" t="s">
        <x:v>228</x:v>
      </x:c>
      <x:c r="C128" s="23" t="s">
        <x:v>103</x:v>
      </x:c>
      <x:c r="D128" s="23" t="s">
        <x:v>103</x:v>
      </x:c>
      <x:c r="E128" s="22" t="s">
        <x:v>51</x:v>
      </x:c>
      <x:c r="F128" s="23" t="s">
        <x:v>229</x:v>
      </x:c>
      <x:c r="G128" s="24" t="s">
        <x:v>44</x:v>
      </x:c>
      <x:c r="H128" s="25" t="str">
        <x:f t="shared" si="1">IF(G128&lt;&gt;"","COMPLETE","PENDING")</x:f>
        <x:v>COMPLETE</x:v>
      </x:c>
    </x:row>
    <x:row r="129" ht="29.5">
      <x:c r="A129" s="26">
        <x:v>125</x:v>
      </x:c>
      <x:c r="B129" s="27" t="s">
        <x:v>230</x:v>
      </x:c>
      <x:c r="C129" s="28" t="s">
        <x:v>231</x:v>
      </x:c>
      <x:c r="D129" s="28" t="s">
        <x:v>231</x:v>
      </x:c>
      <x:c r="E129" s="27" t="s">
        <x:v>43</x:v>
      </x:c>
      <x:c r="F129" s="28" t="s">
        <x:v>231</x:v>
      </x:c>
      <x:c r="G129" s="24" t="s">
        <x:v>44</x:v>
      </x:c>
      <x:c r="H129" s="25" t="str">
        <x:f t="shared" si="1">IF(G129&lt;&gt;"","COMPLETE","PENDING")</x:f>
        <x:v>COMPLETE</x:v>
      </x:c>
    </x:row>
    <x:row r="130" ht="14.75">
      <x:c r="A130" s="21">
        <x:v>126</x:v>
      </x:c>
      <x:c r="B130" s="22" t="s">
        <x:v>232</x:v>
      </x:c>
      <x:c r="C130" s="23" t="s">
        <x:v>233</x:v>
      </x:c>
      <x:c r="D130" s="23" t="s">
        <x:v>233</x:v>
      </x:c>
      <x:c r="E130" s="22" t="s">
        <x:v>43</x:v>
      </x:c>
      <x:c r="F130" s="23" t="s">
        <x:v>233</x:v>
      </x:c>
      <x:c r="G130" s="24" t="s">
        <x:v>44</x:v>
      </x:c>
      <x:c r="H130" s="25" t="str">
        <x:f t="shared" si="1">IF(G130&lt;&gt;"","COMPLETE","PENDING")</x:f>
        <x:v>COMPLETE</x:v>
      </x:c>
    </x:row>
    <x:row r="131" ht="14.75">
      <x:c r="A131" s="21">
        <x:v>127</x:v>
      </x:c>
      <x:c r="B131" s="22" t="s">
        <x:v>232</x:v>
      </x:c>
      <x:c r="C131" s="23" t="s">
        <x:v>233</x:v>
      </x:c>
      <x:c r="D131" s="23" t="s">
        <x:v>233</x:v>
      </x:c>
      <x:c r="E131" s="22" t="s">
        <x:v>51</x:v>
      </x:c>
      <x:c r="F131" s="23" t="s">
        <x:v>234</x:v>
      </x:c>
      <x:c r="G131" s="24" t="s">
        <x:v>58</x:v>
      </x:c>
      <x:c r="H131" s="25" t="str">
        <x:f t="shared" si="1">IF(G131&lt;&gt;"","COMPLETE","PENDING")</x:f>
        <x:v>COMPLETE</x:v>
      </x:c>
    </x:row>
    <x:row r="132" ht="14.75">
      <x:c r="A132" s="21">
        <x:v>128</x:v>
      </x:c>
      <x:c r="B132" s="22" t="s">
        <x:v>232</x:v>
      </x:c>
      <x:c r="C132" s="23" t="s">
        <x:v>233</x:v>
      </x:c>
      <x:c r="D132" s="23" t="s">
        <x:v>233</x:v>
      </x:c>
      <x:c r="E132" s="22" t="s">
        <x:v>91</x:v>
      </x:c>
      <x:c r="F132" s="23" t="s">
        <x:v>235</x:v>
      </x:c>
      <x:c r="G132" s="24" t="s">
        <x:v>44</x:v>
      </x:c>
      <x:c r="H132" s="25" t="str">
        <x:f t="shared" si="1">IF(G132&lt;&gt;"","COMPLETE","PENDING")</x:f>
        <x:v>COMPLETE</x:v>
      </x:c>
    </x:row>
    <x:row r="133" ht="14.75">
      <x:c r="A133" s="26">
        <x:v>129</x:v>
      </x:c>
      <x:c r="B133" s="27" t="s">
        <x:v>236</x:v>
      </x:c>
      <x:c r="C133" s="28" t="s">
        <x:v>237</x:v>
      </x:c>
      <x:c r="D133" s="28" t="s">
        <x:v>237</x:v>
      </x:c>
      <x:c r="E133" s="27" t="s">
        <x:v>43</x:v>
      </x:c>
      <x:c r="F133" s="28" t="s">
        <x:v>238</x:v>
      </x:c>
      <x:c r="G133" s="24" t="s">
        <x:v>44</x:v>
      </x:c>
      <x:c r="H133" s="25" t="str">
        <x:f t="shared" ref="H133:H196" si="2">IF(G133&lt;&gt;"","COMPLETE","PENDING")</x:f>
        <x:v>COMPLETE</x:v>
      </x:c>
    </x:row>
    <x:row r="134" ht="14.75">
      <x:c r="A134" s="26">
        <x:v>130</x:v>
      </x:c>
      <x:c r="B134" s="27" t="s">
        <x:v>236</x:v>
      </x:c>
      <x:c r="C134" s="28" t="s">
        <x:v>237</x:v>
      </x:c>
      <x:c r="D134" s="28" t="s">
        <x:v>237</x:v>
      </x:c>
      <x:c r="E134" s="27" t="s">
        <x:v>51</x:v>
      </x:c>
      <x:c r="F134" s="28" t="s">
        <x:v>237</x:v>
      </x:c>
      <x:c r="G134" s="24" t="s">
        <x:v>44</x:v>
      </x:c>
      <x:c r="H134" s="25" t="str">
        <x:f t="shared" si="2">IF(G134&lt;&gt;"","COMPLETE","PENDING")</x:f>
        <x:v>COMPLETE</x:v>
      </x:c>
    </x:row>
    <x:row r="135" ht="14.75">
      <x:c r="A135" s="21">
        <x:v>131</x:v>
      </x:c>
      <x:c r="B135" s="22" t="s">
        <x:v>239</x:v>
      </x:c>
      <x:c r="C135" s="23" t="s">
        <x:v>78</x:v>
      </x:c>
      <x:c r="D135" s="23" t="s">
        <x:v>78</x:v>
      </x:c>
      <x:c r="E135" s="22" t="s">
        <x:v>43</x:v>
      </x:c>
      <x:c r="F135" s="23" t="s">
        <x:v>78</x:v>
      </x:c>
      <x:c r="G135" s="24" t="s">
        <x:v>58</x:v>
      </x:c>
      <x:c r="H135" s="25" t="str">
        <x:f t="shared" si="2">IF(G135&lt;&gt;"","COMPLETE","PENDING")</x:f>
        <x:v>COMPLETE</x:v>
      </x:c>
    </x:row>
    <x:row r="136" ht="14.75">
      <x:c r="A136" s="26">
        <x:v>132</x:v>
      </x:c>
      <x:c r="B136" s="27" t="s">
        <x:v>240</x:v>
      </x:c>
      <x:c r="C136" s="28" t="s">
        <x:v>241</x:v>
      </x:c>
      <x:c r="D136" s="28" t="s">
        <x:v>241</x:v>
      </x:c>
      <x:c r="E136" s="27" t="s">
        <x:v>43</x:v>
      </x:c>
      <x:c r="F136" s="28" t="s">
        <x:v>241</x:v>
      </x:c>
      <x:c r="G136" s="24" t="s">
        <x:v>44</x:v>
      </x:c>
      <x:c r="H136" s="25" t="str">
        <x:f t="shared" si="2">IF(G136&lt;&gt;"","COMPLETE","PENDING")</x:f>
        <x:v>COMPLETE</x:v>
      </x:c>
    </x:row>
    <x:row r="137" ht="14.75">
      <x:c r="A137" s="21">
        <x:v>133</x:v>
      </x:c>
      <x:c r="B137" s="22" t="s">
        <x:v>242</x:v>
      </x:c>
      <x:c r="C137" s="23" t="s">
        <x:v>243</x:v>
      </x:c>
      <x:c r="D137" s="23" t="s">
        <x:v>243</x:v>
      </x:c>
      <x:c r="E137" s="22" t="s">
        <x:v>43</x:v>
      </x:c>
      <x:c r="F137" s="23" t="s">
        <x:v>243</x:v>
      </x:c>
      <x:c r="G137" s="24" t="s">
        <x:v>44</x:v>
      </x:c>
      <x:c r="H137" s="25" t="str">
        <x:f t="shared" si="2">IF(G137&lt;&gt;"","COMPLETE","PENDING")</x:f>
        <x:v>COMPLETE</x:v>
      </x:c>
    </x:row>
    <x:row r="138" ht="14.75">
      <x:c r="A138" s="21">
        <x:v>134</x:v>
      </x:c>
      <x:c r="B138" s="22" t="s">
        <x:v>242</x:v>
      </x:c>
      <x:c r="C138" s="23" t="s">
        <x:v>243</x:v>
      </x:c>
      <x:c r="D138" s="23" t="s">
        <x:v>243</x:v>
      </x:c>
      <x:c r="E138" s="22" t="s">
        <x:v>51</x:v>
      </x:c>
      <x:c r="F138" s="23" t="s">
        <x:v>244</x:v>
      </x:c>
      <x:c r="G138" s="24" t="s">
        <x:v>44</x:v>
      </x:c>
      <x:c r="H138" s="25" t="str">
        <x:f t="shared" si="2">IF(G138&lt;&gt;"","COMPLETE","PENDING")</x:f>
        <x:v>COMPLETE</x:v>
      </x:c>
    </x:row>
    <x:row r="139" ht="14.75">
      <x:c r="A139" s="26">
        <x:v>135</x:v>
      </x:c>
      <x:c r="B139" s="27" t="s">
        <x:v>245</x:v>
      </x:c>
      <x:c r="C139" s="28" t="s">
        <x:v>246</x:v>
      </x:c>
      <x:c r="D139" s="28" t="s">
        <x:v>246</x:v>
      </x:c>
      <x:c r="E139" s="27" t="s">
        <x:v>43</x:v>
      </x:c>
      <x:c r="F139" s="28" t="s">
        <x:v>246</x:v>
      </x:c>
      <x:c r="G139" s="24" t="s">
        <x:v>44</x:v>
      </x:c>
      <x:c r="H139" s="25" t="str">
        <x:f t="shared" si="2">IF(G139&lt;&gt;"","COMPLETE","PENDING")</x:f>
        <x:v>COMPLETE</x:v>
      </x:c>
    </x:row>
    <x:row r="140" ht="14.75">
      <x:c r="A140" s="26">
        <x:v>136</x:v>
      </x:c>
      <x:c r="B140" s="27" t="s">
        <x:v>245</x:v>
      </x:c>
      <x:c r="C140" s="28" t="s">
        <x:v>246</x:v>
      </x:c>
      <x:c r="D140" s="28" t="s">
        <x:v>246</x:v>
      </x:c>
      <x:c r="E140" s="27" t="s">
        <x:v>51</x:v>
      </x:c>
      <x:c r="F140" s="28" t="s">
        <x:v>247</x:v>
      </x:c>
      <x:c r="G140" s="24" t="s">
        <x:v>44</x:v>
      </x:c>
      <x:c r="H140" s="25" t="str">
        <x:f t="shared" si="2">IF(G140&lt;&gt;"","COMPLETE","PENDING")</x:f>
        <x:v>COMPLETE</x:v>
      </x:c>
    </x:row>
    <x:row r="141" ht="14.75">
      <x:c r="A141" s="21">
        <x:v>137</x:v>
      </x:c>
      <x:c r="B141" s="22" t="s">
        <x:v>248</x:v>
      </x:c>
      <x:c r="C141" s="23" t="s">
        <x:v>83</x:v>
      </x:c>
      <x:c r="D141" s="23" t="s">
        <x:v>83</x:v>
      </x:c>
      <x:c r="E141" s="22" t="s">
        <x:v>43</x:v>
      </x:c>
      <x:c r="F141" s="23" t="s">
        <x:v>83</x:v>
      </x:c>
      <x:c r="G141" s="24" t="s">
        <x:v>44</x:v>
      </x:c>
      <x:c r="H141" s="25" t="str">
        <x:f t="shared" si="2">IF(G141&lt;&gt;"","COMPLETE","PENDING")</x:f>
        <x:v>COMPLETE</x:v>
      </x:c>
    </x:row>
    <x:row r="142" ht="14.75">
      <x:c r="A142" s="26">
        <x:v>138</x:v>
      </x:c>
      <x:c r="B142" s="27" t="s">
        <x:v>249</x:v>
      </x:c>
      <x:c r="C142" s="28" t="s">
        <x:v>250</x:v>
      </x:c>
      <x:c r="D142" s="28" t="s">
        <x:v>250</x:v>
      </x:c>
      <x:c r="E142" s="27" t="s">
        <x:v>43</x:v>
      </x:c>
      <x:c r="F142" s="28" t="s">
        <x:v>251</x:v>
      </x:c>
      <x:c r="G142" s="24" t="s">
        <x:v>44</x:v>
      </x:c>
      <x:c r="H142" s="25" t="str">
        <x:f t="shared" si="2">IF(G142&lt;&gt;"","COMPLETE","PENDING")</x:f>
        <x:v>COMPLETE</x:v>
      </x:c>
    </x:row>
    <x:row r="143" ht="14.75">
      <x:c r="A143" s="26">
        <x:v>139</x:v>
      </x:c>
      <x:c r="B143" s="27" t="s">
        <x:v>249</x:v>
      </x:c>
      <x:c r="C143" s="28" t="s">
        <x:v>250</x:v>
      </x:c>
      <x:c r="D143" s="28" t="s">
        <x:v>250</x:v>
      </x:c>
      <x:c r="E143" s="27" t="s">
        <x:v>51</x:v>
      </x:c>
      <x:c r="F143" s="28" t="s">
        <x:v>252</x:v>
      </x:c>
      <x:c r="G143" s="24" t="s">
        <x:v>58</x:v>
      </x:c>
      <x:c r="H143" s="25" t="str">
        <x:f t="shared" si="2">IF(G143&lt;&gt;"","COMPLETE","PENDING")</x:f>
        <x:v>COMPLETE</x:v>
      </x:c>
    </x:row>
    <x:row r="144" ht="14.75">
      <x:c r="A144" s="26">
        <x:v>140</x:v>
      </x:c>
      <x:c r="B144" s="27" t="s">
        <x:v>249</x:v>
      </x:c>
      <x:c r="C144" s="28" t="s">
        <x:v>250</x:v>
      </x:c>
      <x:c r="D144" s="28" t="s">
        <x:v>250</x:v>
      </x:c>
      <x:c r="E144" s="27" t="s">
        <x:v>91</x:v>
      </x:c>
      <x:c r="F144" s="28" t="s">
        <x:v>250</x:v>
      </x:c>
      <x:c r="G144" s="24" t="s">
        <x:v>44</x:v>
      </x:c>
      <x:c r="H144" s="25" t="str">
        <x:f t="shared" si="2">IF(G144&lt;&gt;"","COMPLETE","PENDING")</x:f>
        <x:v>COMPLETE</x:v>
      </x:c>
    </x:row>
    <x:row r="145" ht="29.5">
      <x:c r="A145" s="21">
        <x:v>141</x:v>
      </x:c>
      <x:c r="B145" s="22" t="s">
        <x:v>253</x:v>
      </x:c>
      <x:c r="C145" s="23" t="s">
        <x:v>161</x:v>
      </x:c>
      <x:c r="D145" s="23" t="s">
        <x:v>120</x:v>
      </x:c>
      <x:c r="E145" s="22" t="s">
        <x:v>43</x:v>
      </x:c>
      <x:c r="F145" s="23" t="s">
        <x:v>120</x:v>
      </x:c>
      <x:c r="G145" s="24" t="s">
        <x:v>44</x:v>
      </x:c>
      <x:c r="H145" s="25" t="str">
        <x:f t="shared" si="2">IF(G145&lt;&gt;"","COMPLETE","PENDING")</x:f>
        <x:v>COMPLETE</x:v>
      </x:c>
    </x:row>
    <x:row r="146" ht="29.5">
      <x:c r="A146" s="21">
        <x:v>142</x:v>
      </x:c>
      <x:c r="B146" s="22" t="s">
        <x:v>253</x:v>
      </x:c>
      <x:c r="C146" s="23" t="s">
        <x:v>161</x:v>
      </x:c>
      <x:c r="D146" s="23" t="s">
        <x:v>120</x:v>
      </x:c>
      <x:c r="E146" s="22" t="s">
        <x:v>51</x:v>
      </x:c>
      <x:c r="F146" s="23" t="s">
        <x:v>121</x:v>
      </x:c>
      <x:c r="G146" s="24" t="s">
        <x:v>44</x:v>
      </x:c>
      <x:c r="H146" s="25" t="str">
        <x:f t="shared" si="2">IF(G146&lt;&gt;"","COMPLETE","PENDING")</x:f>
        <x:v>COMPLETE</x:v>
      </x:c>
    </x:row>
    <x:row r="147" ht="14.75">
      <x:c r="A147" s="26">
        <x:v>143</x:v>
      </x:c>
      <x:c r="B147" s="27" t="s">
        <x:v>254</x:v>
      </x:c>
      <x:c r="C147" s="28" t="s">
        <x:v>255</x:v>
      </x:c>
      <x:c r="D147" s="28" t="s">
        <x:v>255</x:v>
      </x:c>
      <x:c r="E147" s="27" t="s">
        <x:v>43</x:v>
      </x:c>
      <x:c r="F147" s="28" t="s">
        <x:v>256</x:v>
      </x:c>
      <x:c r="G147" s="24" t="s">
        <x:v>44</x:v>
      </x:c>
      <x:c r="H147" s="25" t="str">
        <x:f t="shared" si="2">IF(G147&lt;&gt;"","COMPLETE","PENDING")</x:f>
        <x:v>COMPLETE</x:v>
      </x:c>
    </x:row>
    <x:row r="148" ht="14.75">
      <x:c r="A148" s="26">
        <x:v>144</x:v>
      </x:c>
      <x:c r="B148" s="27" t="s">
        <x:v>254</x:v>
      </x:c>
      <x:c r="C148" s="28" t="s">
        <x:v>255</x:v>
      </x:c>
      <x:c r="D148" s="28" t="s">
        <x:v>255</x:v>
      </x:c>
      <x:c r="E148" s="27" t="s">
        <x:v>51</x:v>
      </x:c>
      <x:c r="F148" s="28" t="s">
        <x:v>257</x:v>
      </x:c>
      <x:c r="G148" s="24" t="s">
        <x:v>44</x:v>
      </x:c>
      <x:c r="H148" s="25" t="str">
        <x:f t="shared" si="2">IF(G148&lt;&gt;"","COMPLETE","PENDING")</x:f>
        <x:v>COMPLETE</x:v>
      </x:c>
    </x:row>
    <x:row r="149" ht="14.75">
      <x:c r="A149" s="26">
        <x:v>145</x:v>
      </x:c>
      <x:c r="B149" s="27" t="s">
        <x:v>254</x:v>
      </x:c>
      <x:c r="C149" s="28" t="s">
        <x:v>255</x:v>
      </x:c>
      <x:c r="D149" s="28" t="s">
        <x:v>255</x:v>
      </x:c>
      <x:c r="E149" s="27" t="s">
        <x:v>91</x:v>
      </x:c>
      <x:c r="F149" s="28" t="s">
        <x:v>255</x:v>
      </x:c>
      <x:c r="G149" s="24" t="s">
        <x:v>44</x:v>
      </x:c>
      <x:c r="H149" s="25" t="str">
        <x:f t="shared" si="2">IF(G149&lt;&gt;"","COMPLETE","PENDING")</x:f>
        <x:v>COMPLETE</x:v>
      </x:c>
    </x:row>
    <x:row r="150" ht="14.75">
      <x:c r="A150" s="21">
        <x:v>146</x:v>
      </x:c>
      <x:c r="B150" s="22" t="s">
        <x:v>258</x:v>
      </x:c>
      <x:c r="C150" s="23" t="s">
        <x:v>241</x:v>
      </x:c>
      <x:c r="D150" s="23" t="s">
        <x:v>241</x:v>
      </x:c>
      <x:c r="E150" s="22" t="s">
        <x:v>43</x:v>
      </x:c>
      <x:c r="F150" s="23" t="s">
        <x:v>259</x:v>
      </x:c>
      <x:c r="G150" s="24" t="s">
        <x:v>44</x:v>
      </x:c>
      <x:c r="H150" s="25" t="str">
        <x:f t="shared" si="2">IF(G150&lt;&gt;"","COMPLETE","PENDING")</x:f>
        <x:v>COMPLETE</x:v>
      </x:c>
    </x:row>
    <x:row r="151" ht="14.75">
      <x:c r="A151" s="21">
        <x:v>147</x:v>
      </x:c>
      <x:c r="B151" s="22" t="s">
        <x:v>258</x:v>
      </x:c>
      <x:c r="C151" s="23" t="s">
        <x:v>241</x:v>
      </x:c>
      <x:c r="D151" s="23" t="s">
        <x:v>241</x:v>
      </x:c>
      <x:c r="E151" s="22" t="s">
        <x:v>51</x:v>
      </x:c>
      <x:c r="F151" s="23" t="s">
        <x:v>241</x:v>
      </x:c>
      <x:c r="G151" s="24" t="s">
        <x:v>44</x:v>
      </x:c>
      <x:c r="H151" s="25" t="str">
        <x:f t="shared" si="2">IF(G151&lt;&gt;"","COMPLETE","PENDING")</x:f>
        <x:v>COMPLETE</x:v>
      </x:c>
    </x:row>
    <x:row r="152" ht="14.75">
      <x:c r="A152" s="26">
        <x:v>148</x:v>
      </x:c>
      <x:c r="B152" s="27" t="s">
        <x:v>260</x:v>
      </x:c>
      <x:c r="C152" s="28" t="s">
        <x:v>261</x:v>
      </x:c>
      <x:c r="D152" s="28" t="s">
        <x:v>261</x:v>
      </x:c>
      <x:c r="E152" s="27" t="s">
        <x:v>43</x:v>
      </x:c>
      <x:c r="F152" s="28" t="s">
        <x:v>261</x:v>
      </x:c>
      <x:c r="G152" s="24" t="s">
        <x:v>44</x:v>
      </x:c>
      <x:c r="H152" s="25" t="str">
        <x:f t="shared" si="2">IF(G152&lt;&gt;"","COMPLETE","PENDING")</x:f>
        <x:v>COMPLETE</x:v>
      </x:c>
    </x:row>
    <x:row r="153" ht="14.75">
      <x:c r="A153" s="26">
        <x:v>149</x:v>
      </x:c>
      <x:c r="B153" s="27" t="s">
        <x:v>260</x:v>
      </x:c>
      <x:c r="C153" s="28" t="s">
        <x:v>261</x:v>
      </x:c>
      <x:c r="D153" s="28" t="s">
        <x:v>261</x:v>
      </x:c>
      <x:c r="E153" s="27" t="s">
        <x:v>51</x:v>
      </x:c>
      <x:c r="F153" s="28" t="s">
        <x:v>262</x:v>
      </x:c>
      <x:c r="G153" s="24" t="s">
        <x:v>44</x:v>
      </x:c>
      <x:c r="H153" s="25" t="str">
        <x:f t="shared" si="2">IF(G153&lt;&gt;"","COMPLETE","PENDING")</x:f>
        <x:v>COMPLETE</x:v>
      </x:c>
    </x:row>
    <x:row r="154" ht="14.75">
      <x:c r="A154" s="21">
        <x:v>150</x:v>
      </x:c>
      <x:c r="B154" s="22" t="s">
        <x:v>263</x:v>
      </x:c>
      <x:c r="C154" s="23" t="s">
        <x:v>264</x:v>
      </x:c>
      <x:c r="D154" s="23" t="s">
        <x:v>264</x:v>
      </x:c>
      <x:c r="E154" s="22" t="s">
        <x:v>43</x:v>
      </x:c>
      <x:c r="F154" s="23" t="s">
        <x:v>265</x:v>
      </x:c>
      <x:c r="G154" s="24" t="s">
        <x:v>58</x:v>
      </x:c>
      <x:c r="H154" s="25" t="str">
        <x:f t="shared" si="2">IF(G154&lt;&gt;"","COMPLETE","PENDING")</x:f>
        <x:v>COMPLETE</x:v>
      </x:c>
    </x:row>
    <x:row r="155" ht="14.75">
      <x:c r="A155" s="21">
        <x:v>151</x:v>
      </x:c>
      <x:c r="B155" s="22" t="s">
        <x:v>263</x:v>
      </x:c>
      <x:c r="C155" s="23" t="s">
        <x:v>264</x:v>
      </x:c>
      <x:c r="D155" s="23" t="s">
        <x:v>264</x:v>
      </x:c>
      <x:c r="E155" s="22" t="s">
        <x:v>51</x:v>
      </x:c>
      <x:c r="F155" s="23" t="s">
        <x:v>264</x:v>
      </x:c>
      <x:c r="G155" s="24" t="s">
        <x:v>44</x:v>
      </x:c>
      <x:c r="H155" s="25" t="str">
        <x:f t="shared" si="2">IF(G155&lt;&gt;"","COMPLETE","PENDING")</x:f>
        <x:v>COMPLETE</x:v>
      </x:c>
    </x:row>
    <x:row r="156" ht="14.75">
      <x:c r="A156" s="21">
        <x:v>152</x:v>
      </x:c>
      <x:c r="B156" s="22" t="s">
        <x:v>263</x:v>
      </x:c>
      <x:c r="C156" s="23" t="s">
        <x:v>264</x:v>
      </x:c>
      <x:c r="D156" s="23" t="s">
        <x:v>264</x:v>
      </x:c>
      <x:c r="E156" s="22" t="s">
        <x:v>91</x:v>
      </x:c>
      <x:c r="F156" s="23" t="s">
        <x:v>266</x:v>
      </x:c>
      <x:c r="G156" s="24" t="s">
        <x:v>44</x:v>
      </x:c>
      <x:c r="H156" s="25" t="str">
        <x:f t="shared" si="2">IF(G156&lt;&gt;"","COMPLETE","PENDING")</x:f>
        <x:v>COMPLETE</x:v>
      </x:c>
    </x:row>
    <x:row r="157" ht="14.75">
      <x:c r="A157" s="26">
        <x:v>153</x:v>
      </x:c>
      <x:c r="B157" s="27" t="s">
        <x:v>267</x:v>
      </x:c>
      <x:c r="C157" s="28" t="s">
        <x:v>65</x:v>
      </x:c>
      <x:c r="D157" s="28" t="s">
        <x:v>65</x:v>
      </x:c>
      <x:c r="E157" s="27" t="s">
        <x:v>43</x:v>
      </x:c>
      <x:c r="F157" s="28" t="s">
        <x:v>65</x:v>
      </x:c>
      <x:c r="G157" s="24" t="s">
        <x:v>58</x:v>
      </x:c>
      <x:c r="H157" s="25" t="str">
        <x:f t="shared" si="2">IF(G157&lt;&gt;"","COMPLETE","PENDING")</x:f>
        <x:v>COMPLETE</x:v>
      </x:c>
    </x:row>
    <x:row r="158" ht="14.75">
      <x:c r="A158" s="21">
        <x:v>154</x:v>
      </x:c>
      <x:c r="B158" s="22" t="s">
        <x:v>268</x:v>
      </x:c>
      <x:c r="C158" s="23" t="s">
        <x:v>269</x:v>
      </x:c>
      <x:c r="D158" s="23" t="s">
        <x:v>269</x:v>
      </x:c>
      <x:c r="E158" s="22" t="s">
        <x:v>43</x:v>
      </x:c>
      <x:c r="F158" s="23" t="s">
        <x:v>270</x:v>
      </x:c>
      <x:c r="G158" s="24" t="s">
        <x:v>44</x:v>
      </x:c>
      <x:c r="H158" s="25" t="str">
        <x:f t="shared" si="2">IF(G158&lt;&gt;"","COMPLETE","PENDING")</x:f>
        <x:v>COMPLETE</x:v>
      </x:c>
    </x:row>
    <x:row r="159" ht="14.75">
      <x:c r="A159" s="21">
        <x:v>155</x:v>
      </x:c>
      <x:c r="B159" s="22" t="s">
        <x:v>268</x:v>
      </x:c>
      <x:c r="C159" s="23" t="s">
        <x:v>269</x:v>
      </x:c>
      <x:c r="D159" s="23" t="s">
        <x:v>269</x:v>
      </x:c>
      <x:c r="E159" s="22" t="s">
        <x:v>51</x:v>
      </x:c>
      <x:c r="F159" s="23" t="s">
        <x:v>269</x:v>
      </x:c>
      <x:c r="G159" s="24" t="s">
        <x:v>44</x:v>
      </x:c>
      <x:c r="H159" s="25" t="str">
        <x:f t="shared" si="2">IF(G159&lt;&gt;"","COMPLETE","PENDING")</x:f>
        <x:v>COMPLETE</x:v>
      </x:c>
    </x:row>
    <x:row r="160" ht="14.75">
      <x:c r="A160" s="26">
        <x:v>156</x:v>
      </x:c>
      <x:c r="B160" s="27" t="s">
        <x:v>271</x:v>
      </x:c>
      <x:c r="C160" s="28" t="s">
        <x:v>272</x:v>
      </x:c>
      <x:c r="D160" s="28" t="s">
        <x:v>272</x:v>
      </x:c>
      <x:c r="E160" s="27" t="s">
        <x:v>43</x:v>
      </x:c>
      <x:c r="F160" s="28" t="s">
        <x:v>273</x:v>
      </x:c>
      <x:c r="G160" s="24" t="s">
        <x:v>44</x:v>
      </x:c>
      <x:c r="H160" s="25" t="str">
        <x:f t="shared" si="2">IF(G160&lt;&gt;"","COMPLETE","PENDING")</x:f>
        <x:v>COMPLETE</x:v>
      </x:c>
    </x:row>
    <x:row r="161" ht="14.75">
      <x:c r="A161" s="26">
        <x:v>157</x:v>
      </x:c>
      <x:c r="B161" s="27" t="s">
        <x:v>271</x:v>
      </x:c>
      <x:c r="C161" s="28" t="s">
        <x:v>272</x:v>
      </x:c>
      <x:c r="D161" s="28" t="s">
        <x:v>272</x:v>
      </x:c>
      <x:c r="E161" s="27" t="s">
        <x:v>51</x:v>
      </x:c>
      <x:c r="F161" s="28" t="s">
        <x:v>272</x:v>
      </x:c>
      <x:c r="G161" s="24" t="s">
        <x:v>44</x:v>
      </x:c>
      <x:c r="H161" s="25" t="str">
        <x:f t="shared" si="2">IF(G161&lt;&gt;"","COMPLETE","PENDING")</x:f>
        <x:v>COMPLETE</x:v>
      </x:c>
    </x:row>
    <x:row r="162" ht="14.75">
      <x:c r="A162" s="21">
        <x:v>158</x:v>
      </x:c>
      <x:c r="B162" s="22" t="s">
        <x:v>274</x:v>
      </x:c>
      <x:c r="C162" s="23" t="s">
        <x:v>117</x:v>
      </x:c>
      <x:c r="D162" s="23" t="s">
        <x:v>117</x:v>
      </x:c>
      <x:c r="E162" s="22" t="s">
        <x:v>43</x:v>
      </x:c>
      <x:c r="F162" s="23" t="s">
        <x:v>118</x:v>
      </x:c>
      <x:c r="G162" s="24" t="s">
        <x:v>44</x:v>
      </x:c>
      <x:c r="H162" s="25" t="str">
        <x:f t="shared" si="2">IF(G162&lt;&gt;"","COMPLETE","PENDING")</x:f>
        <x:v>COMPLETE</x:v>
      </x:c>
    </x:row>
    <x:row r="163" ht="14.75">
      <x:c r="A163" s="21">
        <x:v>159</x:v>
      </x:c>
      <x:c r="B163" s="22" t="s">
        <x:v>274</x:v>
      </x:c>
      <x:c r="C163" s="23" t="s">
        <x:v>117</x:v>
      </x:c>
      <x:c r="D163" s="23" t="s">
        <x:v>117</x:v>
      </x:c>
      <x:c r="E163" s="22" t="s">
        <x:v>51</x:v>
      </x:c>
      <x:c r="F163" s="23" t="s">
        <x:v>117</x:v>
      </x:c>
      <x:c r="G163" s="24" t="s">
        <x:v>44</x:v>
      </x:c>
      <x:c r="H163" s="25" t="str">
        <x:f t="shared" si="2">IF(G163&lt;&gt;"","COMPLETE","PENDING")</x:f>
        <x:v>COMPLETE</x:v>
      </x:c>
    </x:row>
    <x:row r="164" ht="14.75">
      <x:c r="A164" s="26">
        <x:v>160</x:v>
      </x:c>
      <x:c r="B164" s="27" t="s">
        <x:v>275</x:v>
      </x:c>
      <x:c r="C164" s="28" t="s">
        <x:v>276</x:v>
      </x:c>
      <x:c r="D164" s="28" t="s">
        <x:v>276</x:v>
      </x:c>
      <x:c r="E164" s="27" t="s">
        <x:v>43</x:v>
      </x:c>
      <x:c r="F164" s="28" t="s">
        <x:v>276</x:v>
      </x:c>
      <x:c r="G164" s="24" t="s">
        <x:v>44</x:v>
      </x:c>
      <x:c r="H164" s="25" t="str">
        <x:f t="shared" si="2">IF(G164&lt;&gt;"","COMPLETE","PENDING")</x:f>
        <x:v>COMPLETE</x:v>
      </x:c>
    </x:row>
    <x:row r="165" ht="14.75">
      <x:c r="A165" s="26">
        <x:v>161</x:v>
      </x:c>
      <x:c r="B165" s="27" t="s">
        <x:v>275</x:v>
      </x:c>
      <x:c r="C165" s="28" t="s">
        <x:v>276</x:v>
      </x:c>
      <x:c r="D165" s="28" t="s">
        <x:v>276</x:v>
      </x:c>
      <x:c r="E165" s="27" t="s">
        <x:v>51</x:v>
      </x:c>
      <x:c r="F165" s="28" t="s">
        <x:v>277</x:v>
      </x:c>
      <x:c r="G165" s="24" t="s">
        <x:v>44</x:v>
      </x:c>
      <x:c r="H165" s="25" t="str">
        <x:f t="shared" si="2">IF(G165&lt;&gt;"","COMPLETE","PENDING")</x:f>
        <x:v>COMPLETE</x:v>
      </x:c>
    </x:row>
    <x:row r="166" ht="14.75">
      <x:c r="A166" s="21">
        <x:v>162</x:v>
      </x:c>
      <x:c r="B166" s="22" t="s">
        <x:v>278</x:v>
      </x:c>
      <x:c r="C166" s="23" t="s">
        <x:v>204</x:v>
      </x:c>
      <x:c r="D166" s="23" t="s">
        <x:v>204</x:v>
      </x:c>
      <x:c r="E166" s="22" t="s">
        <x:v>43</x:v>
      </x:c>
      <x:c r="F166" s="23" t="s">
        <x:v>205</x:v>
      </x:c>
      <x:c r="G166" s="24" t="s">
        <x:v>44</x:v>
      </x:c>
      <x:c r="H166" s="25" t="str">
        <x:f t="shared" si="2">IF(G166&lt;&gt;"","COMPLETE","PENDING")</x:f>
        <x:v>COMPLETE</x:v>
      </x:c>
    </x:row>
    <x:row r="167" ht="14.75">
      <x:c r="A167" s="21">
        <x:v>163</x:v>
      </x:c>
      <x:c r="B167" s="22" t="s">
        <x:v>278</x:v>
      </x:c>
      <x:c r="C167" s="23" t="s">
        <x:v>204</x:v>
      </x:c>
      <x:c r="D167" s="23" t="s">
        <x:v>204</x:v>
      </x:c>
      <x:c r="E167" s="22" t="s">
        <x:v>51</x:v>
      </x:c>
      <x:c r="F167" s="23" t="s">
        <x:v>204</x:v>
      </x:c>
      <x:c r="G167" s="24" t="s">
        <x:v>44</x:v>
      </x:c>
      <x:c r="H167" s="25" t="str">
        <x:f t="shared" si="2">IF(G167&lt;&gt;"","COMPLETE","PENDING")</x:f>
        <x:v>COMPLETE</x:v>
      </x:c>
    </x:row>
    <x:row r="168" ht="14.75">
      <x:c r="A168" s="26">
        <x:v>164</x:v>
      </x:c>
      <x:c r="B168" s="27" t="s">
        <x:v>279</x:v>
      </x:c>
      <x:c r="C168" s="28" t="s">
        <x:v>280</x:v>
      </x:c>
      <x:c r="D168" s="28" t="s">
        <x:v>280</x:v>
      </x:c>
      <x:c r="E168" s="27" t="s">
        <x:v>43</x:v>
      </x:c>
      <x:c r="F168" s="28" t="s">
        <x:v>280</x:v>
      </x:c>
      <x:c r="G168" s="24" t="s">
        <x:v>44</x:v>
      </x:c>
      <x:c r="H168" s="25" t="str">
        <x:f t="shared" si="2">IF(G168&lt;&gt;"","COMPLETE","PENDING")</x:f>
        <x:v>COMPLETE</x:v>
      </x:c>
    </x:row>
    <x:row r="169" ht="14.75">
      <x:c r="A169" s="21">
        <x:v>165</x:v>
      </x:c>
      <x:c r="B169" s="22" t="s">
        <x:v>281</x:v>
      </x:c>
      <x:c r="C169" s="23" t="s">
        <x:v>282</x:v>
      </x:c>
      <x:c r="D169" s="23" t="s">
        <x:v>282</x:v>
      </x:c>
      <x:c r="E169" s="22" t="s">
        <x:v>43</x:v>
      </x:c>
      <x:c r="F169" s="23" t="s">
        <x:v>282</x:v>
      </x:c>
      <x:c r="G169" s="24" t="s">
        <x:v>44</x:v>
      </x:c>
      <x:c r="H169" s="25" t="str">
        <x:f t="shared" si="2">IF(G169&lt;&gt;"","COMPLETE","PENDING")</x:f>
        <x:v>COMPLETE</x:v>
      </x:c>
    </x:row>
    <x:row r="170" ht="14.75">
      <x:c r="A170" s="26">
        <x:v>166</x:v>
      </x:c>
      <x:c r="B170" s="27" t="s">
        <x:v>283</x:v>
      </x:c>
      <x:c r="C170" s="28" t="s">
        <x:v>282</x:v>
      </x:c>
      <x:c r="D170" s="28" t="s">
        <x:v>282</x:v>
      </x:c>
      <x:c r="E170" s="27" t="s">
        <x:v>43</x:v>
      </x:c>
      <x:c r="F170" s="28" t="s">
        <x:v>282</x:v>
      </x:c>
      <x:c r="G170" s="24" t="s">
        <x:v>44</x:v>
      </x:c>
      <x:c r="H170" s="25" t="str">
        <x:f t="shared" si="2">IF(G170&lt;&gt;"","COMPLETE","PENDING")</x:f>
        <x:v>COMPLETE</x:v>
      </x:c>
    </x:row>
    <x:row r="171" ht="14.75">
      <x:c r="A171" s="26">
        <x:v>167</x:v>
      </x:c>
      <x:c r="B171" s="27" t="s">
        <x:v>283</x:v>
      </x:c>
      <x:c r="C171" s="28" t="s">
        <x:v>282</x:v>
      </x:c>
      <x:c r="D171" s="28" t="s">
        <x:v>282</x:v>
      </x:c>
      <x:c r="E171" s="27" t="s">
        <x:v>51</x:v>
      </x:c>
      <x:c r="F171" s="28" t="s">
        <x:v>284</x:v>
      </x:c>
      <x:c r="G171" s="24" t="s">
        <x:v>44</x:v>
      </x:c>
      <x:c r="H171" s="25" t="str">
        <x:f t="shared" si="2">IF(G171&lt;&gt;"","COMPLETE","PENDING")</x:f>
        <x:v>COMPLETE</x:v>
      </x:c>
    </x:row>
    <x:row r="172" ht="14.75">
      <x:c r="A172" s="21">
        <x:v>168</x:v>
      </x:c>
      <x:c r="B172" s="22" t="s">
        <x:v>285</x:v>
      </x:c>
      <x:c r="C172" s="23" t="s">
        <x:v>286</x:v>
      </x:c>
      <x:c r="D172" s="23" t="s">
        <x:v>286</x:v>
      </x:c>
      <x:c r="E172" s="22" t="s">
        <x:v>43</x:v>
      </x:c>
      <x:c r="F172" s="23" t="s">
        <x:v>287</x:v>
      </x:c>
      <x:c r="G172" s="24" t="s">
        <x:v>44</x:v>
      </x:c>
      <x:c r="H172" s="25" t="str">
        <x:f t="shared" si="2">IF(G172&lt;&gt;"","COMPLETE","PENDING")</x:f>
        <x:v>COMPLETE</x:v>
      </x:c>
    </x:row>
    <x:row r="173" ht="14.75">
      <x:c r="A173" s="21">
        <x:v>169</x:v>
      </x:c>
      <x:c r="B173" s="22" t="s">
        <x:v>285</x:v>
      </x:c>
      <x:c r="C173" s="23" t="s">
        <x:v>286</x:v>
      </x:c>
      <x:c r="D173" s="23" t="s">
        <x:v>286</x:v>
      </x:c>
      <x:c r="E173" s="22" t="s">
        <x:v>51</x:v>
      </x:c>
      <x:c r="F173" s="23" t="s">
        <x:v>286</x:v>
      </x:c>
      <x:c r="G173" s="24" t="s">
        <x:v>44</x:v>
      </x:c>
      <x:c r="H173" s="25" t="str">
        <x:f t="shared" si="2">IF(G173&lt;&gt;"","COMPLETE","PENDING")</x:f>
        <x:v>COMPLETE</x:v>
      </x:c>
    </x:row>
    <x:row r="174" ht="14.75">
      <x:c r="A174" s="26">
        <x:v>170</x:v>
      </x:c>
      <x:c r="B174" s="27" t="s">
        <x:v>288</x:v>
      </x:c>
      <x:c r="C174" s="28" t="s">
        <x:v>289</x:v>
      </x:c>
      <x:c r="D174" s="28" t="s">
        <x:v>289</x:v>
      </x:c>
      <x:c r="E174" s="27" t="s">
        <x:v>43</x:v>
      </x:c>
      <x:c r="F174" s="28" t="s">
        <x:v>290</x:v>
      </x:c>
      <x:c r="G174" s="24" t="s">
        <x:v>44</x:v>
      </x:c>
      <x:c r="H174" s="25" t="str">
        <x:f t="shared" si="2">IF(G174&lt;&gt;"","COMPLETE","PENDING")</x:f>
        <x:v>COMPLETE</x:v>
      </x:c>
    </x:row>
    <x:row r="175" ht="14.75">
      <x:c r="A175" s="26">
        <x:v>171</x:v>
      </x:c>
      <x:c r="B175" s="27" t="s">
        <x:v>288</x:v>
      </x:c>
      <x:c r="C175" s="28" t="s">
        <x:v>289</x:v>
      </x:c>
      <x:c r="D175" s="28" t="s">
        <x:v>289</x:v>
      </x:c>
      <x:c r="E175" s="27" t="s">
        <x:v>51</x:v>
      </x:c>
      <x:c r="F175" s="28" t="s">
        <x:v>289</x:v>
      </x:c>
      <x:c r="G175" s="24" t="s">
        <x:v>44</x:v>
      </x:c>
      <x:c r="H175" s="25" t="str">
        <x:f t="shared" si="2">IF(G175&lt;&gt;"","COMPLETE","PENDING")</x:f>
        <x:v>COMPLETE</x:v>
      </x:c>
    </x:row>
    <x:row r="176" ht="14.75">
      <x:c r="A176" s="21">
        <x:v>172</x:v>
      </x:c>
      <x:c r="B176" s="22" t="s">
        <x:v>291</x:v>
      </x:c>
      <x:c r="C176" s="23" t="s">
        <x:v>292</x:v>
      </x:c>
      <x:c r="D176" s="23" t="s">
        <x:v>292</x:v>
      </x:c>
      <x:c r="E176" s="22" t="s">
        <x:v>43</x:v>
      </x:c>
      <x:c r="F176" s="23" t="s">
        <x:v>292</x:v>
      </x:c>
      <x:c r="G176" s="24" t="s">
        <x:v>44</x:v>
      </x:c>
      <x:c r="H176" s="25" t="str">
        <x:f t="shared" si="2">IF(G176&lt;&gt;"","COMPLETE","PENDING")</x:f>
        <x:v>COMPLETE</x:v>
      </x:c>
    </x:row>
    <x:row r="177" ht="14.75">
      <x:c r="A177" s="26">
        <x:v>173</x:v>
      </x:c>
      <x:c r="B177" s="27" t="s">
        <x:v>293</x:v>
      </x:c>
      <x:c r="C177" s="28" t="s">
        <x:v>294</x:v>
      </x:c>
      <x:c r="D177" s="28" t="s">
        <x:v>294</x:v>
      </x:c>
      <x:c r="E177" s="27" t="s">
        <x:v>43</x:v>
      </x:c>
      <x:c r="F177" s="28" t="s">
        <x:v>294</x:v>
      </x:c>
      <x:c r="G177" s="24" t="s">
        <x:v>44</x:v>
      </x:c>
      <x:c r="H177" s="25" t="str">
        <x:f t="shared" si="2">IF(G177&lt;&gt;"","COMPLETE","PENDING")</x:f>
        <x:v>COMPLETE</x:v>
      </x:c>
    </x:row>
    <x:row r="178" ht="14.75">
      <x:c r="A178" s="21">
        <x:v>174</x:v>
      </x:c>
      <x:c r="B178" s="22" t="s">
        <x:v>295</x:v>
      </x:c>
      <x:c r="C178" s="23" t="s">
        <x:v>146</x:v>
      </x:c>
      <x:c r="D178" s="23" t="s">
        <x:v>146</x:v>
      </x:c>
      <x:c r="E178" s="22" t="s">
        <x:v>43</x:v>
      </x:c>
      <x:c r="F178" s="23" t="s">
        <x:v>146</x:v>
      </x:c>
      <x:c r="G178" s="24" t="s">
        <x:v>44</x:v>
      </x:c>
      <x:c r="H178" s="25" t="str">
        <x:f t="shared" si="2">IF(G178&lt;&gt;"","COMPLETE","PENDING")</x:f>
        <x:v>COMPLETE</x:v>
      </x:c>
    </x:row>
    <x:row r="179" ht="14.75">
      <x:c r="A179" s="21">
        <x:v>175</x:v>
      </x:c>
      <x:c r="B179" s="22" t="s">
        <x:v>295</x:v>
      </x:c>
      <x:c r="C179" s="23" t="s">
        <x:v>146</x:v>
      </x:c>
      <x:c r="D179" s="23" t="s">
        <x:v>146</x:v>
      </x:c>
      <x:c r="E179" s="22" t="s">
        <x:v>51</x:v>
      </x:c>
      <x:c r="F179" s="23" t="s">
        <x:v>147</x:v>
      </x:c>
      <x:c r="G179" s="24" t="s">
        <x:v>44</x:v>
      </x:c>
      <x:c r="H179" s="25" t="str">
        <x:f t="shared" si="2">IF(G179&lt;&gt;"","COMPLETE","PENDING")</x:f>
        <x:v>COMPLETE</x:v>
      </x:c>
    </x:row>
    <x:row r="180" ht="14.75">
      <x:c r="A180" s="26">
        <x:v>176</x:v>
      </x:c>
      <x:c r="B180" s="27" t="s">
        <x:v>296</x:v>
      </x:c>
      <x:c r="C180" s="28" t="s">
        <x:v>297</x:v>
      </x:c>
      <x:c r="D180" s="28" t="s">
        <x:v>297</x:v>
      </x:c>
      <x:c r="E180" s="27" t="s">
        <x:v>43</x:v>
      </x:c>
      <x:c r="F180" s="28" t="s">
        <x:v>298</x:v>
      </x:c>
      <x:c r="G180" s="24" t="s">
        <x:v>44</x:v>
      </x:c>
      <x:c r="H180" s="25" t="str">
        <x:f t="shared" si="2">IF(G180&lt;&gt;"","COMPLETE","PENDING")</x:f>
        <x:v>COMPLETE</x:v>
      </x:c>
    </x:row>
    <x:row r="181" ht="14.75">
      <x:c r="A181" s="26">
        <x:v>177</x:v>
      </x:c>
      <x:c r="B181" s="27" t="s">
        <x:v>296</x:v>
      </x:c>
      <x:c r="C181" s="28" t="s">
        <x:v>297</x:v>
      </x:c>
      <x:c r="D181" s="28" t="s">
        <x:v>297</x:v>
      </x:c>
      <x:c r="E181" s="27" t="s">
        <x:v>51</x:v>
      </x:c>
      <x:c r="F181" s="28" t="s">
        <x:v>297</x:v>
      </x:c>
      <x:c r="G181" s="24" t="s">
        <x:v>44</x:v>
      </x:c>
      <x:c r="H181" s="25" t="str">
        <x:f t="shared" si="2">IF(G181&lt;&gt;"","COMPLETE","PENDING")</x:f>
        <x:v>COMPLETE</x:v>
      </x:c>
    </x:row>
    <x:row r="182" ht="14.75">
      <x:c r="A182" s="21">
        <x:v>178</x:v>
      </x:c>
      <x:c r="B182" s="22" t="s">
        <x:v>299</x:v>
      </x:c>
      <x:c r="C182" s="23" t="s">
        <x:v>300</x:v>
      </x:c>
      <x:c r="D182" s="23" t="s">
        <x:v>300</x:v>
      </x:c>
      <x:c r="E182" s="22" t="s">
        <x:v>43</x:v>
      </x:c>
      <x:c r="F182" s="23" t="s">
        <x:v>301</x:v>
      </x:c>
      <x:c r="G182" s="24" t="s">
        <x:v>44</x:v>
      </x:c>
      <x:c r="H182" s="25" t="str">
        <x:f t="shared" si="2">IF(G182&lt;&gt;"","COMPLETE","PENDING")</x:f>
        <x:v>COMPLETE</x:v>
      </x:c>
    </x:row>
    <x:row r="183" ht="14.75">
      <x:c r="A183" s="21">
        <x:v>179</x:v>
      </x:c>
      <x:c r="B183" s="22" t="s">
        <x:v>299</x:v>
      </x:c>
      <x:c r="C183" s="23" t="s">
        <x:v>300</x:v>
      </x:c>
      <x:c r="D183" s="23" t="s">
        <x:v>300</x:v>
      </x:c>
      <x:c r="E183" s="22" t="s">
        <x:v>51</x:v>
      </x:c>
      <x:c r="F183" s="23" t="s">
        <x:v>300</x:v>
      </x:c>
      <x:c r="G183" s="24" t="s">
        <x:v>44</x:v>
      </x:c>
      <x:c r="H183" s="25" t="str">
        <x:f t="shared" si="2">IF(G183&lt;&gt;"","COMPLETE","PENDING")</x:f>
        <x:v>COMPLETE</x:v>
      </x:c>
    </x:row>
    <x:row r="184" ht="14.75">
      <x:c r="A184" s="26">
        <x:v>180</x:v>
      </x:c>
      <x:c r="B184" s="27" t="s">
        <x:v>302</x:v>
      </x:c>
      <x:c r="C184" s="28" t="s">
        <x:v>303</x:v>
      </x:c>
      <x:c r="D184" s="28" t="s">
        <x:v>303</x:v>
      </x:c>
      <x:c r="E184" s="27" t="s">
        <x:v>43</x:v>
      </x:c>
      <x:c r="F184" s="28" t="s">
        <x:v>303</x:v>
      </x:c>
      <x:c r="G184" s="24" t="s">
        <x:v>44</x:v>
      </x:c>
      <x:c r="H184" s="25" t="str">
        <x:f t="shared" si="2">IF(G184&lt;&gt;"","COMPLETE","PENDING")</x:f>
        <x:v>COMPLETE</x:v>
      </x:c>
    </x:row>
    <x:row r="185" ht="14.75">
      <x:c r="A185" s="21">
        <x:v>181</x:v>
      </x:c>
      <x:c r="B185" s="22" t="s">
        <x:v>304</x:v>
      </x:c>
      <x:c r="C185" s="23" t="s">
        <x:v>255</x:v>
      </x:c>
      <x:c r="D185" s="23" t="s">
        <x:v>255</x:v>
      </x:c>
      <x:c r="E185" s="22" t="s">
        <x:v>43</x:v>
      </x:c>
      <x:c r="F185" s="23" t="s">
        <x:v>255</x:v>
      </x:c>
      <x:c r="G185" s="24" t="s">
        <x:v>44</x:v>
      </x:c>
      <x:c r="H185" s="25" t="str">
        <x:f t="shared" si="2">IF(G185&lt;&gt;"","COMPLETE","PENDING")</x:f>
        <x:v>COMPLETE</x:v>
      </x:c>
    </x:row>
    <x:row r="186" ht="14.75">
      <x:c r="A186" s="26">
        <x:v>182</x:v>
      </x:c>
      <x:c r="B186" s="27" t="s">
        <x:v>305</x:v>
      </x:c>
      <x:c r="C186" s="28" t="s">
        <x:v>306</x:v>
      </x:c>
      <x:c r="D186" s="28" t="s">
        <x:v>306</x:v>
      </x:c>
      <x:c r="E186" s="27" t="s">
        <x:v>43</x:v>
      </x:c>
      <x:c r="F186" s="28" t="s">
        <x:v>306</x:v>
      </x:c>
      <x:c r="G186" s="24" t="s">
        <x:v>44</x:v>
      </x:c>
      <x:c r="H186" s="25" t="str">
        <x:f t="shared" si="2">IF(G186&lt;&gt;"","COMPLETE","PENDING")</x:f>
        <x:v>COMPLETE</x:v>
      </x:c>
    </x:row>
    <x:row r="187" ht="14.75">
      <x:c r="A187" s="26">
        <x:v>183</x:v>
      </x:c>
      <x:c r="B187" s="27" t="s">
        <x:v>305</x:v>
      </x:c>
      <x:c r="C187" s="28" t="s">
        <x:v>306</x:v>
      </x:c>
      <x:c r="D187" s="28" t="s">
        <x:v>306</x:v>
      </x:c>
      <x:c r="E187" s="27" t="s">
        <x:v>51</x:v>
      </x:c>
      <x:c r="F187" s="28" t="s">
        <x:v>307</x:v>
      </x:c>
      <x:c r="G187" s="24" t="s">
        <x:v>44</x:v>
      </x:c>
      <x:c r="H187" s="25" t="str">
        <x:f t="shared" si="2">IF(G187&lt;&gt;"","COMPLETE","PENDING")</x:f>
        <x:v>COMPLETE</x:v>
      </x:c>
    </x:row>
    <x:row r="188" ht="14.75">
      <x:c r="A188" s="21">
        <x:v>184</x:v>
      </x:c>
      <x:c r="B188" s="22" t="s">
        <x:v>308</x:v>
      </x:c>
      <x:c r="C188" s="23" t="s">
        <x:v>78</x:v>
      </x:c>
      <x:c r="D188" s="23" t="s">
        <x:v>78</x:v>
      </x:c>
      <x:c r="E188" s="22" t="s">
        <x:v>43</x:v>
      </x:c>
      <x:c r="F188" s="23" t="s">
        <x:v>78</x:v>
      </x:c>
      <x:c r="G188" s="24" t="str">
        <x:v>UNACCEPTABLE</x:v>
      </x:c>
      <x:c r="H188" s="25" t="str">
        <x:f t="shared" si="2">IF(G188&lt;&gt;"","COMPLETE","PENDING")</x:f>
        <x:v>COMPLETE</x:v>
      </x:c>
    </x:row>
    <x:row r="189" ht="14.75">
      <x:c r="A189" s="26">
        <x:v>185</x:v>
      </x:c>
      <x:c r="B189" s="27" t="s">
        <x:v>309</x:v>
      </x:c>
      <x:c r="C189" s="28" t="s">
        <x:v>124</x:v>
      </x:c>
      <x:c r="D189" s="28" t="s">
        <x:v>124</x:v>
      </x:c>
      <x:c r="E189" s="27" t="s">
        <x:v>43</x:v>
      </x:c>
      <x:c r="F189" s="28" t="s">
        <x:v>125</x:v>
      </x:c>
      <x:c r="G189" s="24" t="s">
        <x:v>58</x:v>
      </x:c>
      <x:c r="H189" s="25" t="str">
        <x:f t="shared" si="2">IF(G189&lt;&gt;"","COMPLETE","PENDING")</x:f>
        <x:v>COMPLETE</x:v>
      </x:c>
    </x:row>
    <x:row r="190" ht="14.75">
      <x:c r="A190" s="26">
        <x:v>186</x:v>
      </x:c>
      <x:c r="B190" s="27" t="s">
        <x:v>309</x:v>
      </x:c>
      <x:c r="C190" s="28" t="s">
        <x:v>124</x:v>
      </x:c>
      <x:c r="D190" s="28" t="s">
        <x:v>124</x:v>
      </x:c>
      <x:c r="E190" s="27" t="s">
        <x:v>51</x:v>
      </x:c>
      <x:c r="F190" s="28" t="s">
        <x:v>126</x:v>
      </x:c>
      <x:c r="G190" s="24" t="s">
        <x:v>44</x:v>
      </x:c>
      <x:c r="H190" s="25" t="str">
        <x:f t="shared" si="2">IF(G190&lt;&gt;"","COMPLETE","PENDING")</x:f>
        <x:v>COMPLETE</x:v>
      </x:c>
    </x:row>
    <x:row r="191" ht="14.75">
      <x:c r="A191" s="26">
        <x:v>187</x:v>
      </x:c>
      <x:c r="B191" s="27" t="s">
        <x:v>309</x:v>
      </x:c>
      <x:c r="C191" s="28" t="s">
        <x:v>124</x:v>
      </x:c>
      <x:c r="D191" s="28" t="s">
        <x:v>124</x:v>
      </x:c>
      <x:c r="E191" s="27" t="s">
        <x:v>91</x:v>
      </x:c>
      <x:c r="F191" s="28" t="s">
        <x:v>124</x:v>
      </x:c>
      <x:c r="G191" s="24" t="s">
        <x:v>44</x:v>
      </x:c>
      <x:c r="H191" s="25" t="str">
        <x:f t="shared" si="2">IF(G191&lt;&gt;"","COMPLETE","PENDING")</x:f>
        <x:v>COMPLETE</x:v>
      </x:c>
    </x:row>
    <x:row r="192" ht="14.75">
      <x:c r="A192" s="21">
        <x:v>188</x:v>
      </x:c>
      <x:c r="B192" s="22" t="s">
        <x:v>310</x:v>
      </x:c>
      <x:c r="C192" s="23" t="s">
        <x:v>311</x:v>
      </x:c>
      <x:c r="D192" s="23" t="s">
        <x:v>311</x:v>
      </x:c>
      <x:c r="E192" s="22" t="s">
        <x:v>43</x:v>
      </x:c>
      <x:c r="F192" s="23" t="s">
        <x:v>311</x:v>
      </x:c>
      <x:c r="G192" s="24" t="s">
        <x:v>47</x:v>
      </x:c>
      <x:c r="H192" s="25" t="str">
        <x:f t="shared" si="2">IF(G192&lt;&gt;"","COMPLETE","PENDING")</x:f>
        <x:v>COMPLETE</x:v>
      </x:c>
    </x:row>
    <x:row r="193" ht="14.75">
      <x:c r="A193" s="21">
        <x:v>189</x:v>
      </x:c>
      <x:c r="B193" s="22" t="s">
        <x:v>310</x:v>
      </x:c>
      <x:c r="C193" s="23" t="s">
        <x:v>311</x:v>
      </x:c>
      <x:c r="D193" s="23" t="s">
        <x:v>311</x:v>
      </x:c>
      <x:c r="E193" s="22" t="s">
        <x:v>51</x:v>
      </x:c>
      <x:c r="F193" s="23" t="s">
        <x:v>273</x:v>
      </x:c>
      <x:c r="G193" s="24" t="s">
        <x:v>47</x:v>
      </x:c>
      <x:c r="H193" s="25" t="str">
        <x:f t="shared" si="2">IF(G193&lt;&gt;"","COMPLETE","PENDING")</x:f>
        <x:v>COMPLETE</x:v>
      </x:c>
    </x:row>
    <x:row r="194" ht="14.75">
      <x:c r="A194" s="26">
        <x:v>190</x:v>
      </x:c>
      <x:c r="B194" s="27" t="s">
        <x:v>312</x:v>
      </x:c>
      <x:c r="C194" s="28" t="s">
        <x:v>198</x:v>
      </x:c>
      <x:c r="D194" s="28" t="s">
        <x:v>198</x:v>
      </x:c>
      <x:c r="E194" s="27" t="s">
        <x:v>43</x:v>
      </x:c>
      <x:c r="F194" s="28" t="s">
        <x:v>198</x:v>
      </x:c>
      <x:c r="G194" s="24" t="s">
        <x:v>44</x:v>
      </x:c>
      <x:c r="H194" s="25" t="str">
        <x:f t="shared" si="2">IF(G194&lt;&gt;"","COMPLETE","PENDING")</x:f>
        <x:v>COMPLETE</x:v>
      </x:c>
    </x:row>
    <x:row r="195" ht="14.75">
      <x:c r="A195" s="21">
        <x:v>191</x:v>
      </x:c>
      <x:c r="B195" s="22" t="s">
        <x:v>313</x:v>
      </x:c>
      <x:c r="C195" s="23" t="s">
        <x:v>68</x:v>
      </x:c>
      <x:c r="D195" s="23" t="s">
        <x:v>68</x:v>
      </x:c>
      <x:c r="E195" s="22" t="s">
        <x:v>43</x:v>
      </x:c>
      <x:c r="F195" s="23" t="s">
        <x:v>314</x:v>
      </x:c>
      <x:c r="G195" s="24" t="s">
        <x:v>44</x:v>
      </x:c>
      <x:c r="H195" s="25" t="str">
        <x:f t="shared" si="2">IF(G195&lt;&gt;"","COMPLETE","PENDING")</x:f>
        <x:v>COMPLETE</x:v>
      </x:c>
    </x:row>
    <x:row r="196" ht="14.75">
      <x:c r="A196" s="21">
        <x:v>192</x:v>
      </x:c>
      <x:c r="B196" s="22" t="s">
        <x:v>313</x:v>
      </x:c>
      <x:c r="C196" s="23" t="s">
        <x:v>68</x:v>
      </x:c>
      <x:c r="D196" s="23" t="s">
        <x:v>68</x:v>
      </x:c>
      <x:c r="E196" s="22" t="s">
        <x:v>51</x:v>
      </x:c>
      <x:c r="F196" s="23" t="s">
        <x:v>68</x:v>
      </x:c>
      <x:c r="G196" s="24" t="s">
        <x:v>44</x:v>
      </x:c>
      <x:c r="H196" s="25" t="str">
        <x:f t="shared" si="2">IF(G196&lt;&gt;"","COMPLETE","PENDING")</x:f>
        <x:v>COMPLETE</x:v>
      </x:c>
    </x:row>
    <x:row r="197" ht="29.5">
      <x:c r="A197" s="26">
        <x:v>193</x:v>
      </x:c>
      <x:c r="B197" s="27" t="s">
        <x:v>315</x:v>
      </x:c>
      <x:c r="C197" s="28" t="s">
        <x:v>316</x:v>
      </x:c>
      <x:c r="D197" s="28" t="s">
        <x:v>316</x:v>
      </x:c>
      <x:c r="E197" s="27" t="s">
        <x:v>43</x:v>
      </x:c>
      <x:c r="F197" s="28" t="s">
        <x:v>316</x:v>
      </x:c>
      <x:c r="G197" s="24" t="s">
        <x:v>44</x:v>
      </x:c>
      <x:c r="H197" s="25" t="str">
        <x:f t="shared" ref="H197:H260" si="3">IF(G197&lt;&gt;"","COMPLETE","PENDING")</x:f>
        <x:v>COMPLETE</x:v>
      </x:c>
    </x:row>
    <x:row r="198" ht="14.75">
      <x:c r="A198" s="21">
        <x:v>194</x:v>
      </x:c>
      <x:c r="B198" s="22" t="s">
        <x:v>317</x:v>
      </x:c>
      <x:c r="C198" s="23" t="s">
        <x:v>289</x:v>
      </x:c>
      <x:c r="D198" s="23" t="s">
        <x:v>289</x:v>
      </x:c>
      <x:c r="E198" s="22" t="s">
        <x:v>43</x:v>
      </x:c>
      <x:c r="F198" s="23" t="s">
        <x:v>290</x:v>
      </x:c>
      <x:c r="G198" s="24" t="s">
        <x:v>44</x:v>
      </x:c>
      <x:c r="H198" s="25" t="str">
        <x:f t="shared" si="3">IF(G198&lt;&gt;"","COMPLETE","PENDING")</x:f>
        <x:v>COMPLETE</x:v>
      </x:c>
    </x:row>
    <x:row r="199" ht="14.75">
      <x:c r="A199" s="21">
        <x:v>195</x:v>
      </x:c>
      <x:c r="B199" s="22" t="s">
        <x:v>317</x:v>
      </x:c>
      <x:c r="C199" s="23" t="s">
        <x:v>289</x:v>
      </x:c>
      <x:c r="D199" s="23" t="s">
        <x:v>289</x:v>
      </x:c>
      <x:c r="E199" s="22" t="s">
        <x:v>51</x:v>
      </x:c>
      <x:c r="F199" s="23" t="s">
        <x:v>289</x:v>
      </x:c>
      <x:c r="G199" s="24" t="s">
        <x:v>44</x:v>
      </x:c>
      <x:c r="H199" s="25" t="str">
        <x:f t="shared" si="3">IF(G199&lt;&gt;"","COMPLETE","PENDING")</x:f>
        <x:v>COMPLETE</x:v>
      </x:c>
    </x:row>
    <x:row r="200" ht="14.75">
      <x:c r="A200" s="26">
        <x:v>196</x:v>
      </x:c>
      <x:c r="B200" s="27" t="s">
        <x:v>318</x:v>
      </x:c>
      <x:c r="C200" s="28" t="s">
        <x:v>319</x:v>
      </x:c>
      <x:c r="D200" s="28" t="s">
        <x:v>319</x:v>
      </x:c>
      <x:c r="E200" s="27" t="s">
        <x:v>43</x:v>
      </x:c>
      <x:c r="F200" s="28" t="s">
        <x:v>319</x:v>
      </x:c>
      <x:c r="G200" s="24" t="s">
        <x:v>44</x:v>
      </x:c>
      <x:c r="H200" s="25" t="str">
        <x:f t="shared" si="3">IF(G200&lt;&gt;"","COMPLETE","PENDING")</x:f>
        <x:v>COMPLETE</x:v>
      </x:c>
    </x:row>
    <x:row r="201" ht="14.75">
      <x:c r="A201" s="21">
        <x:v>197</x:v>
      </x:c>
      <x:c r="B201" s="22" t="s">
        <x:v>320</x:v>
      </x:c>
      <x:c r="C201" s="23" t="s">
        <x:v>321</x:v>
      </x:c>
      <x:c r="D201" s="23" t="s">
        <x:v>321</x:v>
      </x:c>
      <x:c r="E201" s="22" t="s">
        <x:v>43</x:v>
      </x:c>
      <x:c r="F201" s="23" t="s">
        <x:v>322</x:v>
      </x:c>
      <x:c r="G201" s="24" t="s">
        <x:v>44</x:v>
      </x:c>
      <x:c r="H201" s="25" t="str">
        <x:f t="shared" si="3">IF(G201&lt;&gt;"","COMPLETE","PENDING")</x:f>
        <x:v>COMPLETE</x:v>
      </x:c>
    </x:row>
    <x:row r="202" ht="14.75">
      <x:c r="A202" s="21">
        <x:v>198</x:v>
      </x:c>
      <x:c r="B202" s="22" t="s">
        <x:v>320</x:v>
      </x:c>
      <x:c r="C202" s="23" t="s">
        <x:v>321</x:v>
      </x:c>
      <x:c r="D202" s="23" t="s">
        <x:v>321</x:v>
      </x:c>
      <x:c r="E202" s="22" t="s">
        <x:v>51</x:v>
      </x:c>
      <x:c r="F202" s="23" t="s">
        <x:v>321</x:v>
      </x:c>
      <x:c r="G202" s="24" t="s">
        <x:v>44</x:v>
      </x:c>
      <x:c r="H202" s="25" t="str">
        <x:f t="shared" si="3">IF(G202&lt;&gt;"","COMPLETE","PENDING")</x:f>
        <x:v>COMPLETE</x:v>
      </x:c>
    </x:row>
    <x:row r="203" ht="14.75">
      <x:c r="A203" s="26">
        <x:v>199</x:v>
      </x:c>
      <x:c r="B203" s="27" t="s">
        <x:v>323</x:v>
      </x:c>
      <x:c r="C203" s="28" t="s">
        <x:v>324</x:v>
      </x:c>
      <x:c r="D203" s="28" t="s">
        <x:v>324</x:v>
      </x:c>
      <x:c r="E203" s="27" t="s">
        <x:v>43</x:v>
      </x:c>
      <x:c r="F203" s="28" t="s">
        <x:v>325</x:v>
      </x:c>
      <x:c r="G203" s="24" t="s">
        <x:v>44</x:v>
      </x:c>
      <x:c r="H203" s="25" t="str">
        <x:f t="shared" si="3">IF(G203&lt;&gt;"","COMPLETE","PENDING")</x:f>
        <x:v>COMPLETE</x:v>
      </x:c>
    </x:row>
    <x:row r="204" ht="14.75">
      <x:c r="A204" s="26">
        <x:v>200</x:v>
      </x:c>
      <x:c r="B204" s="27" t="s">
        <x:v>323</x:v>
      </x:c>
      <x:c r="C204" s="28" t="s">
        <x:v>324</x:v>
      </x:c>
      <x:c r="D204" s="28" t="s">
        <x:v>324</x:v>
      </x:c>
      <x:c r="E204" s="27" t="s">
        <x:v>51</x:v>
      </x:c>
      <x:c r="F204" s="28" t="s">
        <x:v>324</x:v>
      </x:c>
      <x:c r="G204" s="24" t="s">
        <x:v>44</x:v>
      </x:c>
      <x:c r="H204" s="25" t="str">
        <x:f t="shared" si="3">IF(G204&lt;&gt;"","COMPLETE","PENDING")</x:f>
        <x:v>COMPLETE</x:v>
      </x:c>
    </x:row>
    <x:row r="205" ht="14.75">
      <x:c r="A205" s="21">
        <x:v>201</x:v>
      </x:c>
      <x:c r="B205" s="22" t="s">
        <x:v>326</x:v>
      </x:c>
      <x:c r="C205" s="23" t="s">
        <x:v>327</x:v>
      </x:c>
      <x:c r="D205" s="23" t="s">
        <x:v>327</x:v>
      </x:c>
      <x:c r="E205" s="22" t="s">
        <x:v>43</x:v>
      </x:c>
      <x:c r="F205" s="23" t="s">
        <x:v>328</x:v>
      </x:c>
      <x:c r="G205" s="24" t="s">
        <x:v>44</x:v>
      </x:c>
      <x:c r="H205" s="25" t="str">
        <x:f t="shared" si="3">IF(G205&lt;&gt;"","COMPLETE","PENDING")</x:f>
        <x:v>COMPLETE</x:v>
      </x:c>
    </x:row>
    <x:row r="206" ht="14.75">
      <x:c r="A206" s="21">
        <x:v>202</x:v>
      </x:c>
      <x:c r="B206" s="22" t="s">
        <x:v>326</x:v>
      </x:c>
      <x:c r="C206" s="23" t="s">
        <x:v>327</x:v>
      </x:c>
      <x:c r="D206" s="23" t="s">
        <x:v>327</x:v>
      </x:c>
      <x:c r="E206" s="22" t="s">
        <x:v>51</x:v>
      </x:c>
      <x:c r="F206" s="23" t="s">
        <x:v>327</x:v>
      </x:c>
      <x:c r="G206" s="24" t="s">
        <x:v>44</x:v>
      </x:c>
      <x:c r="H206" s="25" t="str">
        <x:f t="shared" si="3">IF(G206&lt;&gt;"","COMPLETE","PENDING")</x:f>
        <x:v>COMPLETE</x:v>
      </x:c>
    </x:row>
    <x:row r="207" ht="14.75">
      <x:c r="A207" s="26">
        <x:v>203</x:v>
      </x:c>
      <x:c r="B207" s="27" t="s">
        <x:v>329</x:v>
      </x:c>
      <x:c r="C207" s="28" t="s">
        <x:v>330</x:v>
      </x:c>
      <x:c r="D207" s="28" t="s">
        <x:v>330</x:v>
      </x:c>
      <x:c r="E207" s="27" t="s">
        <x:v>43</x:v>
      </x:c>
      <x:c r="F207" s="28" t="s">
        <x:v>330</x:v>
      </x:c>
      <x:c r="G207" s="24" t="s">
        <x:v>44</x:v>
      </x:c>
      <x:c r="H207" s="25" t="str">
        <x:f t="shared" si="3">IF(G207&lt;&gt;"","COMPLETE","PENDING")</x:f>
        <x:v>COMPLETE</x:v>
      </x:c>
    </x:row>
    <x:row r="208" ht="14.75">
      <x:c r="A208" s="26">
        <x:v>204</x:v>
      </x:c>
      <x:c r="B208" s="27" t="s">
        <x:v>329</x:v>
      </x:c>
      <x:c r="C208" s="28" t="s">
        <x:v>330</x:v>
      </x:c>
      <x:c r="D208" s="28" t="s">
        <x:v>330</x:v>
      </x:c>
      <x:c r="E208" s="27" t="s">
        <x:v>51</x:v>
      </x:c>
      <x:c r="F208" s="28" t="s">
        <x:v>331</x:v>
      </x:c>
      <x:c r="G208" s="24" t="s">
        <x:v>44</x:v>
      </x:c>
      <x:c r="H208" s="25" t="str">
        <x:f t="shared" si="3">IF(G208&lt;&gt;"","COMPLETE","PENDING")</x:f>
        <x:v>COMPLETE</x:v>
      </x:c>
    </x:row>
    <x:row r="209" ht="14.75">
      <x:c r="A209" s="21">
        <x:v>205</x:v>
      </x:c>
      <x:c r="B209" s="22" t="s">
        <x:v>332</x:v>
      </x:c>
      <x:c r="C209" s="23" t="s">
        <x:v>333</x:v>
      </x:c>
      <x:c r="D209" s="23" t="s">
        <x:v>333</x:v>
      </x:c>
      <x:c r="E209" s="22" t="s">
        <x:v>43</x:v>
      </x:c>
      <x:c r="F209" s="23" t="s">
        <x:v>333</x:v>
      </x:c>
      <x:c r="G209" s="24" t="s">
        <x:v>44</x:v>
      </x:c>
      <x:c r="H209" s="25" t="str">
        <x:f t="shared" si="3">IF(G209&lt;&gt;"","COMPLETE","PENDING")</x:f>
        <x:v>COMPLETE</x:v>
      </x:c>
    </x:row>
    <x:row r="210" ht="14.75">
      <x:c r="A210" s="21">
        <x:v>206</x:v>
      </x:c>
      <x:c r="B210" s="22" t="s">
        <x:v>332</x:v>
      </x:c>
      <x:c r="C210" s="23" t="s">
        <x:v>333</x:v>
      </x:c>
      <x:c r="D210" s="23" t="s">
        <x:v>333</x:v>
      </x:c>
      <x:c r="E210" s="22" t="s">
        <x:v>51</x:v>
      </x:c>
      <x:c r="F210" s="23" t="s">
        <x:v>334</x:v>
      </x:c>
      <x:c r="G210" s="24" t="s">
        <x:v>44</x:v>
      </x:c>
      <x:c r="H210" s="25" t="str">
        <x:f t="shared" si="3">IF(G210&lt;&gt;"","COMPLETE","PENDING")</x:f>
        <x:v>COMPLETE</x:v>
      </x:c>
    </x:row>
    <x:row r="211" ht="14.75">
      <x:c r="A211" s="26">
        <x:v>207</x:v>
      </x:c>
      <x:c r="B211" s="27" t="s">
        <x:v>335</x:v>
      </x:c>
      <x:c r="C211" s="28" t="s">
        <x:v>336</x:v>
      </x:c>
      <x:c r="D211" s="28" t="s">
        <x:v>336</x:v>
      </x:c>
      <x:c r="E211" s="27" t="s">
        <x:v>43</x:v>
      </x:c>
      <x:c r="F211" s="28" t="s">
        <x:v>337</x:v>
      </x:c>
      <x:c r="G211" s="24" t="s">
        <x:v>58</x:v>
      </x:c>
      <x:c r="H211" s="25" t="str">
        <x:f t="shared" si="3">IF(G211&lt;&gt;"","COMPLETE","PENDING")</x:f>
        <x:v>COMPLETE</x:v>
      </x:c>
    </x:row>
    <x:row r="212" ht="14.75">
      <x:c r="A212" s="26">
        <x:v>208</x:v>
      </x:c>
      <x:c r="B212" s="27" t="s">
        <x:v>335</x:v>
      </x:c>
      <x:c r="C212" s="28" t="s">
        <x:v>336</x:v>
      </x:c>
      <x:c r="D212" s="28" t="s">
        <x:v>336</x:v>
      </x:c>
      <x:c r="E212" s="27" t="s">
        <x:v>51</x:v>
      </x:c>
      <x:c r="F212" s="28" t="s">
        <x:v>336</x:v>
      </x:c>
      <x:c r="G212" s="24" t="s">
        <x:v>58</x:v>
      </x:c>
      <x:c r="H212" s="25" t="str">
        <x:f t="shared" si="3">IF(G212&lt;&gt;"","COMPLETE","PENDING")</x:f>
        <x:v>COMPLETE</x:v>
      </x:c>
    </x:row>
    <x:row r="213" ht="14.75">
      <x:c r="A213" s="21">
        <x:v>209</x:v>
      </x:c>
      <x:c r="B213" s="22" t="s">
        <x:v>338</x:v>
      </x:c>
      <x:c r="C213" s="23" t="s">
        <x:v>174</x:v>
      </x:c>
      <x:c r="D213" s="23" t="s">
        <x:v>174</x:v>
      </x:c>
      <x:c r="E213" s="22" t="s">
        <x:v>43</x:v>
      </x:c>
      <x:c r="F213" s="23" t="s">
        <x:v>174</x:v>
      </x:c>
      <x:c r="G213" s="24" t="s">
        <x:v>44</x:v>
      </x:c>
      <x:c r="H213" s="25" t="str">
        <x:f t="shared" si="3">IF(G213&lt;&gt;"","COMPLETE","PENDING")</x:f>
        <x:v>COMPLETE</x:v>
      </x:c>
    </x:row>
    <x:row r="214" ht="29.5">
      <x:c r="A214" s="26">
        <x:v>210</x:v>
      </x:c>
      <x:c r="B214" s="27" t="s">
        <x:v>339</x:v>
      </x:c>
      <x:c r="C214" s="28" t="s">
        <x:v>340</x:v>
      </x:c>
      <x:c r="D214" s="28" t="s">
        <x:v>340</x:v>
      </x:c>
      <x:c r="E214" s="27" t="s">
        <x:v>43</x:v>
      </x:c>
      <x:c r="F214" s="28" t="s">
        <x:v>340</x:v>
      </x:c>
      <x:c r="G214" s="24" t="s">
        <x:v>44</x:v>
      </x:c>
      <x:c r="H214" s="25" t="str">
        <x:f t="shared" si="3">IF(G214&lt;&gt;"","COMPLETE","PENDING")</x:f>
        <x:v>COMPLETE</x:v>
      </x:c>
    </x:row>
    <x:row r="215" ht="14.75">
      <x:c r="A215" s="21">
        <x:v>211</x:v>
      </x:c>
      <x:c r="B215" s="22" t="s">
        <x:v>341</x:v>
      </x:c>
      <x:c r="C215" s="23" t="s">
        <x:v>342</x:v>
      </x:c>
      <x:c r="D215" s="23" t="s">
        <x:v>342</x:v>
      </x:c>
      <x:c r="E215" s="22" t="s">
        <x:v>43</x:v>
      </x:c>
      <x:c r="F215" s="23" t="s">
        <x:v>144</x:v>
      </x:c>
      <x:c r="G215" s="24" t="s">
        <x:v>44</x:v>
      </x:c>
      <x:c r="H215" s="25" t="str">
        <x:f t="shared" si="3">IF(G215&lt;&gt;"","COMPLETE","PENDING")</x:f>
        <x:v>COMPLETE</x:v>
      </x:c>
    </x:row>
    <x:row r="216" ht="14.75">
      <x:c r="A216" s="21">
        <x:v>212</x:v>
      </x:c>
      <x:c r="B216" s="22" t="s">
        <x:v>341</x:v>
      </x:c>
      <x:c r="C216" s="23" t="s">
        <x:v>342</x:v>
      </x:c>
      <x:c r="D216" s="23" t="s">
        <x:v>342</x:v>
      </x:c>
      <x:c r="E216" s="22" t="s">
        <x:v>51</x:v>
      </x:c>
      <x:c r="F216" s="23" t="s">
        <x:v>342</x:v>
      </x:c>
      <x:c r="G216" s="24" t="s">
        <x:v>44</x:v>
      </x:c>
      <x:c r="H216" s="25" t="str">
        <x:f t="shared" si="3">IF(G216&lt;&gt;"","COMPLETE","PENDING")</x:f>
        <x:v>COMPLETE</x:v>
      </x:c>
    </x:row>
    <x:row r="217" ht="14.75">
      <x:c r="A217" s="26">
        <x:v>213</x:v>
      </x:c>
      <x:c r="B217" s="27" t="s">
        <x:v>343</x:v>
      </x:c>
      <x:c r="C217" s="28" t="s">
        <x:v>344</x:v>
      </x:c>
      <x:c r="D217" s="28" t="s">
        <x:v>344</x:v>
      </x:c>
      <x:c r="E217" s="27" t="s">
        <x:v>43</x:v>
      </x:c>
      <x:c r="F217" s="28" t="s">
        <x:v>345</x:v>
      </x:c>
      <x:c r="G217" s="24" t="s">
        <x:v>44</x:v>
      </x:c>
      <x:c r="H217" s="25" t="str">
        <x:f t="shared" si="3">IF(G217&lt;&gt;"","COMPLETE","PENDING")</x:f>
        <x:v>COMPLETE</x:v>
      </x:c>
    </x:row>
    <x:row r="218" ht="14.75">
      <x:c r="A218" s="26">
        <x:v>214</x:v>
      </x:c>
      <x:c r="B218" s="27" t="s">
        <x:v>343</x:v>
      </x:c>
      <x:c r="C218" s="28" t="s">
        <x:v>344</x:v>
      </x:c>
      <x:c r="D218" s="28" t="s">
        <x:v>344</x:v>
      </x:c>
      <x:c r="E218" s="27" t="s">
        <x:v>51</x:v>
      </x:c>
      <x:c r="F218" s="28" t="s">
        <x:v>344</x:v>
      </x:c>
      <x:c r="G218" s="24" t="s">
        <x:v>44</x:v>
      </x:c>
      <x:c r="H218" s="25" t="str">
        <x:f t="shared" si="3">IF(G218&lt;&gt;"","COMPLETE","PENDING")</x:f>
        <x:v>COMPLETE</x:v>
      </x:c>
    </x:row>
    <x:row r="219" ht="14.75">
      <x:c r="A219" s="21">
        <x:v>215</x:v>
      </x:c>
      <x:c r="B219" s="22" t="s">
        <x:v>346</x:v>
      </x:c>
      <x:c r="C219" s="23" t="s">
        <x:v>347</x:v>
      </x:c>
      <x:c r="D219" s="23" t="s">
        <x:v>347</x:v>
      </x:c>
      <x:c r="E219" s="22" t="s">
        <x:v>43</x:v>
      </x:c>
      <x:c r="F219" s="23" t="s">
        <x:v>347</x:v>
      </x:c>
      <x:c r="G219" s="24" t="s">
        <x:v>44</x:v>
      </x:c>
      <x:c r="H219" s="25" t="str">
        <x:f t="shared" si="3">IF(G219&lt;&gt;"","COMPLETE","PENDING")</x:f>
        <x:v>COMPLETE</x:v>
      </x:c>
    </x:row>
    <x:row r="220" ht="29.5">
      <x:c r="A220" s="26">
        <x:v>216</x:v>
      </x:c>
      <x:c r="B220" s="27" t="s">
        <x:v>348</x:v>
      </x:c>
      <x:c r="C220" s="28" t="s">
        <x:v>161</x:v>
      </x:c>
      <x:c r="D220" s="28" t="s">
        <x:v>120</x:v>
      </x:c>
      <x:c r="E220" s="27" t="s">
        <x:v>43</x:v>
      </x:c>
      <x:c r="F220" s="28" t="s">
        <x:v>120</x:v>
      </x:c>
      <x:c r="G220" s="24" t="s">
        <x:v>44</x:v>
      </x:c>
      <x:c r="H220" s="25" t="str">
        <x:f t="shared" si="3">IF(G220&lt;&gt;"","COMPLETE","PENDING")</x:f>
        <x:v>COMPLETE</x:v>
      </x:c>
    </x:row>
    <x:row r="221" ht="29.5">
      <x:c r="A221" s="26">
        <x:v>217</x:v>
      </x:c>
      <x:c r="B221" s="27" t="s">
        <x:v>348</x:v>
      </x:c>
      <x:c r="C221" s="28" t="s">
        <x:v>161</x:v>
      </x:c>
      <x:c r="D221" s="28" t="s">
        <x:v>120</x:v>
      </x:c>
      <x:c r="E221" s="27" t="s">
        <x:v>51</x:v>
      </x:c>
      <x:c r="F221" s="28" t="s">
        <x:v>121</x:v>
      </x:c>
      <x:c r="G221" s="24" t="s">
        <x:v>44</x:v>
      </x:c>
      <x:c r="H221" s="25" t="str">
        <x:f t="shared" si="3">IF(G221&lt;&gt;"","COMPLETE","PENDING")</x:f>
        <x:v>COMPLETE</x:v>
      </x:c>
    </x:row>
    <x:row r="222" ht="14.75">
      <x:c r="A222" s="21">
        <x:v>218</x:v>
      </x:c>
      <x:c r="B222" s="22" t="s">
        <x:v>349</x:v>
      </x:c>
      <x:c r="C222" s="23" t="s">
        <x:v>350</x:v>
      </x:c>
      <x:c r="D222" s="23" t="s">
        <x:v>350</x:v>
      </x:c>
      <x:c r="E222" s="22" t="s">
        <x:v>43</x:v>
      </x:c>
      <x:c r="F222" s="23" t="s">
        <x:v>350</x:v>
      </x:c>
      <x:c r="G222" s="24" t="s">
        <x:v>44</x:v>
      </x:c>
      <x:c r="H222" s="25" t="str">
        <x:f t="shared" si="3">IF(G222&lt;&gt;"","COMPLETE","PENDING")</x:f>
        <x:v>COMPLETE</x:v>
      </x:c>
    </x:row>
    <x:row r="223" ht="14.75">
      <x:c r="A223" s="21">
        <x:v>219</x:v>
      </x:c>
      <x:c r="B223" s="22" t="s">
        <x:v>349</x:v>
      </x:c>
      <x:c r="C223" s="23" t="s">
        <x:v>350</x:v>
      </x:c>
      <x:c r="D223" s="23" t="s">
        <x:v>350</x:v>
      </x:c>
      <x:c r="E223" s="22" t="s">
        <x:v>51</x:v>
      </x:c>
      <x:c r="F223" s="23" t="s">
        <x:v>351</x:v>
      </x:c>
      <x:c r="G223" s="24" t="s">
        <x:v>58</x:v>
      </x:c>
      <x:c r="H223" s="25" t="str">
        <x:f t="shared" si="3">IF(G223&lt;&gt;"","COMPLETE","PENDING")</x:f>
        <x:v>COMPLETE</x:v>
      </x:c>
    </x:row>
    <x:row r="224" ht="14.75">
      <x:c r="A224" s="26">
        <x:v>220</x:v>
      </x:c>
      <x:c r="B224" s="27" t="s">
        <x:v>352</x:v>
      </x:c>
      <x:c r="C224" s="28" t="s">
        <x:v>191</x:v>
      </x:c>
      <x:c r="D224" s="28" t="s">
        <x:v>191</x:v>
      </x:c>
      <x:c r="E224" s="27" t="s">
        <x:v>43</x:v>
      </x:c>
      <x:c r="F224" s="28" t="s">
        <x:v>353</x:v>
      </x:c>
      <x:c r="G224" s="24" t="s">
        <x:v>58</x:v>
      </x:c>
      <x:c r="H224" s="25" t="str">
        <x:f t="shared" si="3">IF(G224&lt;&gt;"","COMPLETE","PENDING")</x:f>
        <x:v>COMPLETE</x:v>
      </x:c>
    </x:row>
    <x:row r="225" ht="14.75">
      <x:c r="A225" s="26">
        <x:v>221</x:v>
      </x:c>
      <x:c r="B225" s="27" t="s">
        <x:v>352</x:v>
      </x:c>
      <x:c r="C225" s="28" t="s">
        <x:v>191</x:v>
      </x:c>
      <x:c r="D225" s="28" t="s">
        <x:v>191</x:v>
      </x:c>
      <x:c r="E225" s="27" t="s">
        <x:v>51</x:v>
      </x:c>
      <x:c r="F225" s="28" t="s">
        <x:v>354</x:v>
      </x:c>
      <x:c r="G225" s="24" t="s">
        <x:v>58</x:v>
      </x:c>
      <x:c r="H225" s="25" t="str">
        <x:f t="shared" si="3">IF(G225&lt;&gt;"","COMPLETE","PENDING")</x:f>
        <x:v>COMPLETE</x:v>
      </x:c>
    </x:row>
    <x:row r="226" ht="14.75">
      <x:c r="A226" s="26">
        <x:v>222</x:v>
      </x:c>
      <x:c r="B226" s="27" t="s">
        <x:v>352</x:v>
      </x:c>
      <x:c r="C226" s="28" t="s">
        <x:v>191</x:v>
      </x:c>
      <x:c r="D226" s="28" t="s">
        <x:v>191</x:v>
      </x:c>
      <x:c r="E226" s="27" t="s">
        <x:v>91</x:v>
      </x:c>
      <x:c r="F226" s="28" t="s">
        <x:v>191</x:v>
      </x:c>
      <x:c r="G226" s="24" t="s">
        <x:v>44</x:v>
      </x:c>
      <x:c r="H226" s="25" t="str">
        <x:f t="shared" si="3">IF(G226&lt;&gt;"","COMPLETE","PENDING")</x:f>
        <x:v>COMPLETE</x:v>
      </x:c>
    </x:row>
    <x:row r="227" ht="14.75">
      <x:c r="A227" s="26">
        <x:v>223</x:v>
      </x:c>
      <x:c r="B227" s="27" t="s">
        <x:v>352</x:v>
      </x:c>
      <x:c r="C227" s="28" t="s">
        <x:v>191</x:v>
      </x:c>
      <x:c r="D227" s="28" t="s">
        <x:v>191</x:v>
      </x:c>
      <x:c r="E227" s="27" t="s">
        <x:v>355</x:v>
      </x:c>
      <x:c r="F227" s="28" t="s">
        <x:v>356</x:v>
      </x:c>
      <x:c r="G227" s="24" t="s">
        <x:v>44</x:v>
      </x:c>
      <x:c r="H227" s="25" t="str">
        <x:f t="shared" si="3">IF(G227&lt;&gt;"","COMPLETE","PENDING")</x:f>
        <x:v>COMPLETE</x:v>
      </x:c>
    </x:row>
    <x:row r="228" ht="14.75">
      <x:c r="A228" s="21">
        <x:v>224</x:v>
      </x:c>
      <x:c r="B228" s="22" t="s">
        <x:v>357</x:v>
      </x:c>
      <x:c r="C228" s="23" t="s">
        <x:v>358</x:v>
      </x:c>
      <x:c r="D228" s="23" t="s">
        <x:v>358</x:v>
      </x:c>
      <x:c r="E228" s="22" t="s">
        <x:v>43</x:v>
      </x:c>
      <x:c r="F228" s="23" t="s">
        <x:v>358</x:v>
      </x:c>
      <x:c r="G228" s="24" t="s">
        <x:v>44</x:v>
      </x:c>
      <x:c r="H228" s="25" t="str">
        <x:f t="shared" si="3">IF(G228&lt;&gt;"","COMPLETE","PENDING")</x:f>
        <x:v>COMPLETE</x:v>
      </x:c>
    </x:row>
    <x:row r="229" ht="14.75">
      <x:c r="A229" s="26">
        <x:v>225</x:v>
      </x:c>
      <x:c r="B229" s="27" t="s">
        <x:v>359</x:v>
      </x:c>
      <x:c r="C229" s="28" t="s">
        <x:v>264</x:v>
      </x:c>
      <x:c r="D229" s="28" t="s">
        <x:v>264</x:v>
      </x:c>
      <x:c r="E229" s="27" t="s">
        <x:v>43</x:v>
      </x:c>
      <x:c r="F229" s="28" t="s">
        <x:v>264</x:v>
      </x:c>
      <x:c r="G229" s="24" t="s">
        <x:v>44</x:v>
      </x:c>
      <x:c r="H229" s="25" t="str">
        <x:f t="shared" si="3">IF(G229&lt;&gt;"","COMPLETE","PENDING")</x:f>
        <x:v>COMPLETE</x:v>
      </x:c>
    </x:row>
    <x:row r="230" ht="14.75">
      <x:c r="A230" s="26">
        <x:v>226</x:v>
      </x:c>
      <x:c r="B230" s="27" t="s">
        <x:v>359</x:v>
      </x:c>
      <x:c r="C230" s="28" t="s">
        <x:v>264</x:v>
      </x:c>
      <x:c r="D230" s="28" t="s">
        <x:v>264</x:v>
      </x:c>
      <x:c r="E230" s="27" t="s">
        <x:v>51</x:v>
      </x:c>
      <x:c r="F230" s="28" t="s">
        <x:v>266</x:v>
      </x:c>
      <x:c r="G230" s="24" t="s">
        <x:v>44</x:v>
      </x:c>
      <x:c r="H230" s="25" t="str">
        <x:f t="shared" si="3">IF(G230&lt;&gt;"","COMPLETE","PENDING")</x:f>
        <x:v>COMPLETE</x:v>
      </x:c>
    </x:row>
    <x:row r="231" ht="14.75">
      <x:c r="A231" s="26">
        <x:v>227</x:v>
      </x:c>
      <x:c r="B231" s="27" t="s">
        <x:v>359</x:v>
      </x:c>
      <x:c r="C231" s="28" t="s">
        <x:v>264</x:v>
      </x:c>
      <x:c r="D231" s="28" t="s">
        <x:v>264</x:v>
      </x:c>
      <x:c r="E231" s="27" t="s">
        <x:v>91</x:v>
      </x:c>
      <x:c r="F231" s="28" t="s">
        <x:v>265</x:v>
      </x:c>
      <x:c r="G231" s="24" t="s">
        <x:v>58</x:v>
      </x:c>
      <x:c r="H231" s="25" t="str">
        <x:f t="shared" si="3">IF(G231&lt;&gt;"","COMPLETE","PENDING")</x:f>
        <x:v>COMPLETE</x:v>
      </x:c>
    </x:row>
    <x:row r="232" ht="14.75">
      <x:c r="A232" s="21">
        <x:v>228</x:v>
      </x:c>
      <x:c r="B232" s="22" t="s">
        <x:v>360</x:v>
      </x:c>
      <x:c r="C232" s="23" t="s">
        <x:v>107</x:v>
      </x:c>
      <x:c r="D232" s="23" t="s">
        <x:v>107</x:v>
      </x:c>
      <x:c r="E232" s="22" t="s">
        <x:v>43</x:v>
      </x:c>
      <x:c r="F232" s="23" t="s">
        <x:v>107</x:v>
      </x:c>
      <x:c r="G232" s="24" t="s">
        <x:v>58</x:v>
      </x:c>
      <x:c r="H232" s="25" t="str">
        <x:f t="shared" si="3">IF(G232&lt;&gt;"","COMPLETE","PENDING")</x:f>
        <x:v>COMPLETE</x:v>
      </x:c>
    </x:row>
    <x:row r="233" ht="14.75">
      <x:c r="A233" s="26">
        <x:v>229</x:v>
      </x:c>
      <x:c r="B233" s="27" t="s">
        <x:v>361</x:v>
      </x:c>
      <x:c r="C233" s="28" t="s">
        <x:v>223</x:v>
      </x:c>
      <x:c r="D233" s="28" t="s">
        <x:v>223</x:v>
      </x:c>
      <x:c r="E233" s="27" t="s">
        <x:v>43</x:v>
      </x:c>
      <x:c r="F233" s="28" t="s">
        <x:v>223</x:v>
      </x:c>
      <x:c r="G233" s="24" t="s">
        <x:v>44</x:v>
      </x:c>
      <x:c r="H233" s="25" t="str">
        <x:f t="shared" si="3">IF(G233&lt;&gt;"","COMPLETE","PENDING")</x:f>
        <x:v>COMPLETE</x:v>
      </x:c>
    </x:row>
    <x:row r="234" ht="14.75">
      <x:c r="A234" s="26">
        <x:v>230</x:v>
      </x:c>
      <x:c r="B234" s="27" t="s">
        <x:v>361</x:v>
      </x:c>
      <x:c r="C234" s="28" t="s">
        <x:v>223</x:v>
      </x:c>
      <x:c r="D234" s="28" t="s">
        <x:v>223</x:v>
      </x:c>
      <x:c r="E234" s="27" t="s">
        <x:v>51</x:v>
      </x:c>
      <x:c r="F234" s="28" t="s">
        <x:v>362</x:v>
      </x:c>
      <x:c r="G234" s="24" t="s">
        <x:v>44</x:v>
      </x:c>
      <x:c r="H234" s="25" t="str">
        <x:f t="shared" si="3">IF(G234&lt;&gt;"","COMPLETE","PENDING")</x:f>
        <x:v>COMPLETE</x:v>
      </x:c>
    </x:row>
    <x:row r="235" ht="14.75">
      <x:c r="A235" s="21">
        <x:v>231</x:v>
      </x:c>
      <x:c r="B235" s="22" t="s">
        <x:v>363</x:v>
      </x:c>
      <x:c r="C235" s="23" t="s">
        <x:v>167</x:v>
      </x:c>
      <x:c r="D235" s="23" t="s">
        <x:v>167</x:v>
      </x:c>
      <x:c r="E235" s="22" t="s">
        <x:v>43</x:v>
      </x:c>
      <x:c r="F235" s="23" t="s">
        <x:v>167</x:v>
      </x:c>
      <x:c r="G235" s="24" t="s">
        <x:v>44</x:v>
      </x:c>
      <x:c r="H235" s="25" t="str">
        <x:f t="shared" si="3">IF(G235&lt;&gt;"","COMPLETE","PENDING")</x:f>
        <x:v>COMPLETE</x:v>
      </x:c>
    </x:row>
    <x:row r="236" ht="14.75">
      <x:c r="A236" s="21">
        <x:v>232</x:v>
      </x:c>
      <x:c r="B236" s="22" t="s">
        <x:v>363</x:v>
      </x:c>
      <x:c r="C236" s="23" t="s">
        <x:v>167</x:v>
      </x:c>
      <x:c r="D236" s="23" t="s">
        <x:v>167</x:v>
      </x:c>
      <x:c r="E236" s="22" t="s">
        <x:v>51</x:v>
      </x:c>
      <x:c r="F236" s="23" t="s">
        <x:v>169</x:v>
      </x:c>
      <x:c r="G236" s="24" t="s">
        <x:v>58</x:v>
      </x:c>
      <x:c r="H236" s="25" t="str">
        <x:f t="shared" si="3">IF(G236&lt;&gt;"","COMPLETE","PENDING")</x:f>
        <x:v>COMPLETE</x:v>
      </x:c>
    </x:row>
    <x:row r="237" ht="14.75">
      <x:c r="A237" s="21">
        <x:v>233</x:v>
      </x:c>
      <x:c r="B237" s="22" t="s">
        <x:v>363</x:v>
      </x:c>
      <x:c r="C237" s="23" t="s">
        <x:v>167</x:v>
      </x:c>
      <x:c r="D237" s="23" t="s">
        <x:v>167</x:v>
      </x:c>
      <x:c r="E237" s="22" t="s">
        <x:v>91</x:v>
      </x:c>
      <x:c r="F237" s="23" t="s">
        <x:v>168</x:v>
      </x:c>
      <x:c r="G237" s="24" t="s">
        <x:v>44</x:v>
      </x:c>
      <x:c r="H237" s="25" t="str">
        <x:f t="shared" si="3">IF(G237&lt;&gt;"","COMPLETE","PENDING")</x:f>
        <x:v>COMPLETE</x:v>
      </x:c>
    </x:row>
    <x:row r="238" ht="14.75">
      <x:c r="A238" s="26">
        <x:v>234</x:v>
      </x:c>
      <x:c r="B238" s="27" t="s">
        <x:v>364</x:v>
      </x:c>
      <x:c r="C238" s="28" t="s">
        <x:v>78</x:v>
      </x:c>
      <x:c r="D238" s="28" t="s">
        <x:v>78</x:v>
      </x:c>
      <x:c r="E238" s="27" t="s">
        <x:v>43</x:v>
      </x:c>
      <x:c r="F238" s="28" t="s">
        <x:v>78</x:v>
      </x:c>
      <x:c r="G238" s="24" t="s">
        <x:v>58</x:v>
      </x:c>
      <x:c r="H238" s="25" t="str">
        <x:f t="shared" si="3">IF(G238&lt;&gt;"","COMPLETE","PENDING")</x:f>
        <x:v>COMPLETE</x:v>
      </x:c>
    </x:row>
    <x:row r="239" ht="14.75">
      <x:c r="A239" s="21">
        <x:v>235</x:v>
      </x:c>
      <x:c r="B239" s="22" t="s">
        <x:v>365</x:v>
      </x:c>
      <x:c r="C239" s="23" t="s">
        <x:v>250</x:v>
      </x:c>
      <x:c r="D239" s="23" t="s">
        <x:v>250</x:v>
      </x:c>
      <x:c r="E239" s="22" t="s">
        <x:v>43</x:v>
      </x:c>
      <x:c r="F239" s="23" t="s">
        <x:v>250</x:v>
      </x:c>
      <x:c r="G239" s="24" t="s">
        <x:v>58</x:v>
      </x:c>
      <x:c r="H239" s="25" t="str">
        <x:f t="shared" si="3">IF(G239&lt;&gt;"","COMPLETE","PENDING")</x:f>
        <x:v>COMPLETE</x:v>
      </x:c>
    </x:row>
    <x:row r="240" ht="14.75">
      <x:c r="A240" s="26">
        <x:v>236</x:v>
      </x:c>
      <x:c r="B240" s="27" t="s">
        <x:v>366</x:v>
      </x:c>
      <x:c r="C240" s="28" t="s">
        <x:v>46</x:v>
      </x:c>
      <x:c r="D240" s="28" t="s">
        <x:v>46</x:v>
      </x:c>
      <x:c r="E240" s="27" t="s">
        <x:v>43</x:v>
      </x:c>
      <x:c r="F240" s="28" t="s">
        <x:v>46</x:v>
      </x:c>
      <x:c r="G240" s="24" t="s">
        <x:v>58</x:v>
      </x:c>
      <x:c r="H240" s="25" t="str">
        <x:f t="shared" si="3">IF(G240&lt;&gt;"","COMPLETE","PENDING")</x:f>
        <x:v>COMPLETE</x:v>
      </x:c>
    </x:row>
    <x:row r="241" ht="14.75">
      <x:c r="A241" s="21">
        <x:v>237</x:v>
      </x:c>
      <x:c r="B241" s="22" t="s">
        <x:v>367</x:v>
      </x:c>
      <x:c r="C241" s="23" t="s">
        <x:v>368</x:v>
      </x:c>
      <x:c r="D241" s="23" t="s">
        <x:v>368</x:v>
      </x:c>
      <x:c r="E241" s="22" t="s">
        <x:v>43</x:v>
      </x:c>
      <x:c r="F241" s="23" t="s">
        <x:v>369</x:v>
      </x:c>
      <x:c r="G241" s="24" t="s">
        <x:v>44</x:v>
      </x:c>
      <x:c r="H241" s="25" t="str">
        <x:f t="shared" si="3">IF(G241&lt;&gt;"","COMPLETE","PENDING")</x:f>
        <x:v>COMPLETE</x:v>
      </x:c>
    </x:row>
    <x:row r="242" ht="14.75">
      <x:c r="A242" s="21">
        <x:v>238</x:v>
      </x:c>
      <x:c r="B242" s="22" t="s">
        <x:v>367</x:v>
      </x:c>
      <x:c r="C242" s="23" t="s">
        <x:v>368</x:v>
      </x:c>
      <x:c r="D242" s="23" t="s">
        <x:v>368</x:v>
      </x:c>
      <x:c r="E242" s="22" t="s">
        <x:v>51</x:v>
      </x:c>
      <x:c r="F242" s="23" t="s">
        <x:v>368</x:v>
      </x:c>
      <x:c r="G242" s="24" t="s">
        <x:v>44</x:v>
      </x:c>
      <x:c r="H242" s="25" t="str">
        <x:f t="shared" si="3">IF(G242&lt;&gt;"","COMPLETE","PENDING")</x:f>
        <x:v>COMPLETE</x:v>
      </x:c>
    </x:row>
    <x:row r="243" ht="29.5">
      <x:c r="A243" s="26">
        <x:v>239</x:v>
      </x:c>
      <x:c r="B243" s="27" t="s">
        <x:v>370</x:v>
      </x:c>
      <x:c r="C243" s="28" t="s">
        <x:v>120</x:v>
      </x:c>
      <x:c r="D243" s="28" t="s">
        <x:v>120</x:v>
      </x:c>
      <x:c r="E243" s="27" t="s">
        <x:v>43</x:v>
      </x:c>
      <x:c r="F243" s="28" t="s">
        <x:v>121</x:v>
      </x:c>
      <x:c r="G243" s="24" t="s">
        <x:v>44</x:v>
      </x:c>
      <x:c r="H243" s="25" t="str">
        <x:f t="shared" si="3">IF(G243&lt;&gt;"","COMPLETE","PENDING")</x:f>
        <x:v>COMPLETE</x:v>
      </x:c>
    </x:row>
    <x:row r="244" ht="29.5">
      <x:c r="A244" s="26">
        <x:v>240</x:v>
      </x:c>
      <x:c r="B244" s="27" t="s">
        <x:v>370</x:v>
      </x:c>
      <x:c r="C244" s="28" t="s">
        <x:v>120</x:v>
      </x:c>
      <x:c r="D244" s="28" t="s">
        <x:v>120</x:v>
      </x:c>
      <x:c r="E244" s="27" t="s">
        <x:v>51</x:v>
      </x:c>
      <x:c r="F244" s="28" t="s">
        <x:v>120</x:v>
      </x:c>
      <x:c r="G244" s="24" t="s">
        <x:v>44</x:v>
      </x:c>
      <x:c r="H244" s="25" t="str">
        <x:f t="shared" si="3">IF(G244&lt;&gt;"","COMPLETE","PENDING")</x:f>
        <x:v>COMPLETE</x:v>
      </x:c>
    </x:row>
    <x:row r="245" ht="29.5">
      <x:c r="A245" s="26">
        <x:v>241</x:v>
      </x:c>
      <x:c r="B245" s="27" t="s">
        <x:v>370</x:v>
      </x:c>
      <x:c r="C245" s="28" t="s">
        <x:v>120</x:v>
      </x:c>
      <x:c r="D245" s="28" t="s">
        <x:v>120</x:v>
      </x:c>
      <x:c r="E245" s="27" t="s">
        <x:v>91</x:v>
      </x:c>
      <x:c r="F245" s="28" t="s">
        <x:v>122</x:v>
      </x:c>
      <x:c r="G245" s="24" t="s">
        <x:v>44</x:v>
      </x:c>
      <x:c r="H245" s="25" t="str">
        <x:f t="shared" si="3">IF(G245&lt;&gt;"","COMPLETE","PENDING")</x:f>
        <x:v>COMPLETE</x:v>
      </x:c>
    </x:row>
    <x:row r="246" ht="14.75">
      <x:c r="A246" s="21">
        <x:v>242</x:v>
      </x:c>
      <x:c r="B246" s="22" t="s">
        <x:v>371</x:v>
      </x:c>
      <x:c r="C246" s="23" t="s">
        <x:v>372</x:v>
      </x:c>
      <x:c r="D246" s="23" t="s">
        <x:v>372</x:v>
      </x:c>
      <x:c r="E246" s="22" t="s">
        <x:v>43</x:v>
      </x:c>
      <x:c r="F246" s="23" t="s">
        <x:v>372</x:v>
      </x:c>
      <x:c r="G246" s="24" t="s">
        <x:v>44</x:v>
      </x:c>
      <x:c r="H246" s="25" t="str">
        <x:f t="shared" si="3">IF(G246&lt;&gt;"","COMPLETE","PENDING")</x:f>
        <x:v>COMPLETE</x:v>
      </x:c>
    </x:row>
    <x:row r="247" ht="14.75">
      <x:c r="A247" s="21">
        <x:v>243</x:v>
      </x:c>
      <x:c r="B247" s="22" t="s">
        <x:v>371</x:v>
      </x:c>
      <x:c r="C247" s="23" t="s">
        <x:v>372</x:v>
      </x:c>
      <x:c r="D247" s="23" t="s">
        <x:v>372</x:v>
      </x:c>
      <x:c r="E247" s="22" t="s">
        <x:v>51</x:v>
      </x:c>
      <x:c r="F247" s="23" t="s">
        <x:v>373</x:v>
      </x:c>
      <x:c r="G247" s="24" t="s">
        <x:v>44</x:v>
      </x:c>
      <x:c r="H247" s="25" t="str">
        <x:f t="shared" si="3">IF(G247&lt;&gt;"","COMPLETE","PENDING")</x:f>
        <x:v>COMPLETE</x:v>
      </x:c>
    </x:row>
    <x:row r="248" ht="14.75">
      <x:c r="A248" s="26">
        <x:v>244</x:v>
      </x:c>
      <x:c r="B248" s="27" t="s">
        <x:v>374</x:v>
      </x:c>
      <x:c r="C248" s="28" t="s">
        <x:v>375</x:v>
      </x:c>
      <x:c r="D248" s="28" t="s">
        <x:v>375</x:v>
      </x:c>
      <x:c r="E248" s="27" t="s">
        <x:v>43</x:v>
      </x:c>
      <x:c r="F248" s="28" t="s">
        <x:v>375</x:v>
      </x:c>
      <x:c r="G248" s="24" t="s">
        <x:v>44</x:v>
      </x:c>
      <x:c r="H248" s="25" t="str">
        <x:f t="shared" si="3">IF(G248&lt;&gt;"","COMPLETE","PENDING")</x:f>
        <x:v>COMPLETE</x:v>
      </x:c>
    </x:row>
    <x:row r="249" ht="29.5">
      <x:c r="A249" s="21">
        <x:v>245</x:v>
      </x:c>
      <x:c r="B249" s="22" t="s">
        <x:v>376</x:v>
      </x:c>
      <x:c r="C249" s="23" t="s">
        <x:v>109</x:v>
      </x:c>
      <x:c r="D249" s="23" t="s">
        <x:v>109</x:v>
      </x:c>
      <x:c r="E249" s="22" t="s">
        <x:v>43</x:v>
      </x:c>
      <x:c r="F249" s="23" t="s">
        <x:v>109</x:v>
      </x:c>
      <x:c r="G249" s="24" t="s">
        <x:v>47</x:v>
      </x:c>
      <x:c r="H249" s="25" t="str">
        <x:f t="shared" si="3">IF(G249&lt;&gt;"","COMPLETE","PENDING")</x:f>
        <x:v>COMPLETE</x:v>
      </x:c>
    </x:row>
    <x:row r="250" ht="29.5">
      <x:c r="A250" s="26">
        <x:v>246</x:v>
      </x:c>
      <x:c r="B250" s="27" t="s">
        <x:v>377</x:v>
      </x:c>
      <x:c r="C250" s="28" t="s">
        <x:v>378</x:v>
      </x:c>
      <x:c r="D250" s="28" t="s">
        <x:v>378</x:v>
      </x:c>
      <x:c r="E250" s="27" t="s">
        <x:v>43</x:v>
      </x:c>
      <x:c r="F250" s="28" t="s">
        <x:v>378</x:v>
      </x:c>
      <x:c r="G250" s="24" t="s">
        <x:v>44</x:v>
      </x:c>
      <x:c r="H250" s="25" t="str">
        <x:f t="shared" si="3">IF(G250&lt;&gt;"","COMPLETE","PENDING")</x:f>
        <x:v>COMPLETE</x:v>
      </x:c>
    </x:row>
    <x:row r="251" ht="14.75">
      <x:c r="A251" s="21">
        <x:v>247</x:v>
      </x:c>
      <x:c r="B251" s="22" t="s">
        <x:v>379</x:v>
      </x:c>
      <x:c r="C251" s="23" t="s">
        <x:v>380</x:v>
      </x:c>
      <x:c r="D251" s="23" t="s">
        <x:v>380</x:v>
      </x:c>
      <x:c r="E251" s="22" t="s">
        <x:v>43</x:v>
      </x:c>
      <x:c r="F251" s="23" t="s">
        <x:v>381</x:v>
      </x:c>
      <x:c r="G251" s="24" t="s">
        <x:v>44</x:v>
      </x:c>
      <x:c r="H251" s="25" t="str">
        <x:f t="shared" si="3">IF(G251&lt;&gt;"","COMPLETE","PENDING")</x:f>
        <x:v>COMPLETE</x:v>
      </x:c>
    </x:row>
    <x:row r="252" ht="14.75">
      <x:c r="A252" s="21">
        <x:v>248</x:v>
      </x:c>
      <x:c r="B252" s="22" t="s">
        <x:v>379</x:v>
      </x:c>
      <x:c r="C252" s="23" t="s">
        <x:v>380</x:v>
      </x:c>
      <x:c r="D252" s="23" t="s">
        <x:v>380</x:v>
      </x:c>
      <x:c r="E252" s="22" t="s">
        <x:v>51</x:v>
      </x:c>
      <x:c r="F252" s="23" t="s">
        <x:v>380</x:v>
      </x:c>
      <x:c r="G252" s="24" t="s">
        <x:v>44</x:v>
      </x:c>
      <x:c r="H252" s="25" t="str">
        <x:f t="shared" si="3">IF(G252&lt;&gt;"","COMPLETE","PENDING")</x:f>
        <x:v>COMPLETE</x:v>
      </x:c>
    </x:row>
    <x:row r="253" ht="14.75">
      <x:c r="A253" s="21">
        <x:v>249</x:v>
      </x:c>
      <x:c r="B253" s="22" t="s">
        <x:v>379</x:v>
      </x:c>
      <x:c r="C253" s="23" t="s">
        <x:v>380</x:v>
      </x:c>
      <x:c r="D253" s="23" t="s">
        <x:v>380</x:v>
      </x:c>
      <x:c r="E253" s="22" t="s">
        <x:v>91</x:v>
      </x:c>
      <x:c r="F253" s="23" t="s">
        <x:v>382</x:v>
      </x:c>
      <x:c r="G253" s="24" t="s">
        <x:v>44</x:v>
      </x:c>
      <x:c r="H253" s="25" t="str">
        <x:f t="shared" si="3">IF(G253&lt;&gt;"","COMPLETE","PENDING")</x:f>
        <x:v>COMPLETE</x:v>
      </x:c>
    </x:row>
    <x:row r="254" ht="14.75">
      <x:c r="A254" s="26">
        <x:v>250</x:v>
      </x:c>
      <x:c r="B254" s="27" t="s">
        <x:v>383</x:v>
      </x:c>
      <x:c r="C254" s="28" t="s">
        <x:v>233</x:v>
      </x:c>
      <x:c r="D254" s="28" t="s">
        <x:v>233</x:v>
      </x:c>
      <x:c r="E254" s="27" t="s">
        <x:v>43</x:v>
      </x:c>
      <x:c r="F254" s="28" t="s">
        <x:v>235</x:v>
      </x:c>
      <x:c r="G254" s="24" t="s">
        <x:v>44</x:v>
      </x:c>
      <x:c r="H254" s="25" t="str">
        <x:f t="shared" si="3">IF(G254&lt;&gt;"","COMPLETE","PENDING")</x:f>
        <x:v>COMPLETE</x:v>
      </x:c>
    </x:row>
    <x:row r="255" ht="14.75">
      <x:c r="A255" s="26">
        <x:v>251</x:v>
      </x:c>
      <x:c r="B255" s="27" t="s">
        <x:v>383</x:v>
      </x:c>
      <x:c r="C255" s="28" t="s">
        <x:v>233</x:v>
      </x:c>
      <x:c r="D255" s="28" t="s">
        <x:v>233</x:v>
      </x:c>
      <x:c r="E255" s="27" t="s">
        <x:v>51</x:v>
      </x:c>
      <x:c r="F255" s="28" t="s">
        <x:v>233</x:v>
      </x:c>
      <x:c r="G255" s="24" t="s">
        <x:v>44</x:v>
      </x:c>
      <x:c r="H255" s="25" t="str">
        <x:f t="shared" si="3">IF(G255&lt;&gt;"","COMPLETE","PENDING")</x:f>
        <x:v>COMPLETE</x:v>
      </x:c>
    </x:row>
    <x:row r="256" ht="14.75">
      <x:c r="A256" s="26">
        <x:v>252</x:v>
      </x:c>
      <x:c r="B256" s="27" t="s">
        <x:v>383</x:v>
      </x:c>
      <x:c r="C256" s="28" t="s">
        <x:v>233</x:v>
      </x:c>
      <x:c r="D256" s="28" t="s">
        <x:v>233</x:v>
      </x:c>
      <x:c r="E256" s="27" t="s">
        <x:v>91</x:v>
      </x:c>
      <x:c r="F256" s="28" t="s">
        <x:v>234</x:v>
      </x:c>
      <x:c r="G256" s="24" t="s">
        <x:v>58</x:v>
      </x:c>
      <x:c r="H256" s="25" t="str">
        <x:f t="shared" si="3">IF(G256&lt;&gt;"","COMPLETE","PENDING")</x:f>
        <x:v>COMPLETE</x:v>
      </x:c>
    </x:row>
    <x:row r="257" ht="14.75">
      <x:c r="A257" s="21">
        <x:v>253</x:v>
      </x:c>
      <x:c r="B257" s="22" t="s">
        <x:v>384</x:v>
      </x:c>
      <x:c r="C257" s="23" t="s">
        <x:v>385</x:v>
      </x:c>
      <x:c r="D257" s="23" t="s">
        <x:v>385</x:v>
      </x:c>
      <x:c r="E257" s="22" t="s">
        <x:v>43</x:v>
      </x:c>
      <x:c r="F257" s="23" t="s">
        <x:v>386</x:v>
      </x:c>
      <x:c r="G257" s="24" t="s">
        <x:v>44</x:v>
      </x:c>
      <x:c r="H257" s="25" t="str">
        <x:f t="shared" si="3">IF(G257&lt;&gt;"","COMPLETE","PENDING")</x:f>
        <x:v>COMPLETE</x:v>
      </x:c>
    </x:row>
    <x:row r="258" ht="14.75">
      <x:c r="A258" s="21">
        <x:v>254</x:v>
      </x:c>
      <x:c r="B258" s="22" t="s">
        <x:v>384</x:v>
      </x:c>
      <x:c r="C258" s="23" t="s">
        <x:v>385</x:v>
      </x:c>
      <x:c r="D258" s="23" t="s">
        <x:v>385</x:v>
      </x:c>
      <x:c r="E258" s="22" t="s">
        <x:v>51</x:v>
      </x:c>
      <x:c r="F258" s="23" t="s">
        <x:v>385</x:v>
      </x:c>
      <x:c r="G258" s="24" t="s">
        <x:v>44</x:v>
      </x:c>
      <x:c r="H258" s="25" t="str">
        <x:f t="shared" si="3">IF(G258&lt;&gt;"","COMPLETE","PENDING")</x:f>
        <x:v>COMPLETE</x:v>
      </x:c>
    </x:row>
    <x:row r="259" ht="14.75">
      <x:c r="A259" s="26">
        <x:v>255</x:v>
      </x:c>
      <x:c r="B259" s="27" t="s">
        <x:v>387</x:v>
      </x:c>
      <x:c r="C259" s="28" t="s">
        <x:v>388</x:v>
      </x:c>
      <x:c r="D259" s="28" t="s">
        <x:v>388</x:v>
      </x:c>
      <x:c r="E259" s="27" t="s">
        <x:v>43</x:v>
      </x:c>
      <x:c r="F259" s="28" t="s">
        <x:v>388</x:v>
      </x:c>
      <x:c r="G259" s="24" t="s">
        <x:v>44</x:v>
      </x:c>
      <x:c r="H259" s="25" t="str">
        <x:f t="shared" si="3">IF(G259&lt;&gt;"","COMPLETE","PENDING")</x:f>
        <x:v>COMPLETE</x:v>
      </x:c>
    </x:row>
    <x:row r="260" ht="14.75">
      <x:c r="A260" s="26">
        <x:v>256</x:v>
      </x:c>
      <x:c r="B260" s="27" t="s">
        <x:v>387</x:v>
      </x:c>
      <x:c r="C260" s="28" t="s">
        <x:v>388</x:v>
      </x:c>
      <x:c r="D260" s="28" t="s">
        <x:v>388</x:v>
      </x:c>
      <x:c r="E260" s="27" t="s">
        <x:v>51</x:v>
      </x:c>
      <x:c r="F260" s="28" t="s">
        <x:v>389</x:v>
      </x:c>
      <x:c r="G260" s="24" t="s">
        <x:v>44</x:v>
      </x:c>
      <x:c r="H260" s="25" t="str">
        <x:f t="shared" si="3">IF(G260&lt;&gt;"","COMPLETE","PENDING")</x:f>
        <x:v>COMPLETE</x:v>
      </x:c>
    </x:row>
    <x:row r="261" ht="14.75">
      <x:c r="A261" s="21">
        <x:v>257</x:v>
      </x:c>
      <x:c r="B261" s="22" t="s">
        <x:v>390</x:v>
      </x:c>
      <x:c r="C261" s="23" t="s">
        <x:v>65</x:v>
      </x:c>
      <x:c r="D261" s="23" t="s">
        <x:v>65</x:v>
      </x:c>
      <x:c r="E261" s="22" t="s">
        <x:v>43</x:v>
      </x:c>
      <x:c r="F261" s="23" t="s">
        <x:v>65</x:v>
      </x:c>
      <x:c r="G261" s="24" t="s">
        <x:v>58</x:v>
      </x:c>
      <x:c r="H261" s="25" t="str">
        <x:f t="shared" ref="H261:H267" si="4">IF(G261&lt;&gt;"","COMPLETE","PENDING")</x:f>
        <x:v>COMPLETE</x:v>
      </x:c>
    </x:row>
    <x:row r="262" ht="14.75">
      <x:c r="A262" s="26">
        <x:v>258</x:v>
      </x:c>
      <x:c r="B262" s="27" t="s">
        <x:v>391</x:v>
      </x:c>
      <x:c r="C262" s="28" t="s">
        <x:v>73</x:v>
      </x:c>
      <x:c r="D262" s="28" t="s">
        <x:v>73</x:v>
      </x:c>
      <x:c r="E262" s="27" t="s">
        <x:v>43</x:v>
      </x:c>
      <x:c r="F262" s="28" t="s">
        <x:v>73</x:v>
      </x:c>
      <x:c r="G262" s="24" t="s">
        <x:v>44</x:v>
      </x:c>
      <x:c r="H262" s="25" t="str">
        <x:f t="shared" si="4">IF(G262&lt;&gt;"","COMPLETE","PENDING")</x:f>
        <x:v>COMPLETE</x:v>
      </x:c>
    </x:row>
    <x:row r="263" ht="14.75">
      <x:c r="A263" s="26">
        <x:v>259</x:v>
      </x:c>
      <x:c r="B263" s="27" t="s">
        <x:v>391</x:v>
      </x:c>
      <x:c r="C263" s="28" t="s">
        <x:v>73</x:v>
      </x:c>
      <x:c r="D263" s="28" t="s">
        <x:v>73</x:v>
      </x:c>
      <x:c r="E263" s="27" t="s">
        <x:v>51</x:v>
      </x:c>
      <x:c r="F263" s="28" t="s">
        <x:v>392</x:v>
      </x:c>
      <x:c r="G263" s="24" t="s">
        <x:v>44</x:v>
      </x:c>
      <x:c r="H263" s="25" t="str">
        <x:f t="shared" si="4">IF(G263&lt;&gt;"","COMPLETE","PENDING")</x:f>
        <x:v>COMPLETE</x:v>
      </x:c>
    </x:row>
    <x:row r="264" ht="14.75">
      <x:c r="A264" s="26">
        <x:v>260</x:v>
      </x:c>
      <x:c r="B264" s="27" t="s">
        <x:v>391</x:v>
      </x:c>
      <x:c r="C264" s="28" t="s">
        <x:v>73</x:v>
      </x:c>
      <x:c r="D264" s="28" t="s">
        <x:v>73</x:v>
      </x:c>
      <x:c r="E264" s="27" t="s">
        <x:v>91</x:v>
      </x:c>
      <x:c r="F264" s="28" t="s">
        <x:v>393</x:v>
      </x:c>
      <x:c r="G264" s="24" t="s">
        <x:v>58</x:v>
      </x:c>
      <x:c r="H264" s="25" t="str">
        <x:f t="shared" si="4">IF(G264&lt;&gt;"","COMPLETE","PENDING")</x:f>
        <x:v>COMPLETE</x:v>
      </x:c>
    </x:row>
    <x:row r="265" ht="14.75">
      <x:c r="A265" s="26">
        <x:v>261</x:v>
      </x:c>
      <x:c r="B265" s="27" t="s">
        <x:v>391</x:v>
      </x:c>
      <x:c r="C265" s="28" t="s">
        <x:v>73</x:v>
      </x:c>
      <x:c r="D265" s="28" t="s">
        <x:v>73</x:v>
      </x:c>
      <x:c r="E265" s="27" t="s">
        <x:v>355</x:v>
      </x:c>
      <x:c r="F265" s="28" t="s">
        <x:v>394</x:v>
      </x:c>
      <x:c r="G265" s="24" t="s">
        <x:v>44</x:v>
      </x:c>
      <x:c r="H265" s="25" t="str">
        <x:f t="shared" si="4">IF(G265&lt;&gt;"","COMPLETE","PENDING")</x:f>
        <x:v>COMPLETE</x:v>
      </x:c>
    </x:row>
    <x:row r="266" ht="29.5">
      <x:c r="A266" s="21">
        <x:v>262</x:v>
      </x:c>
      <x:c r="B266" s="22" t="s">
        <x:v>395</x:v>
      </x:c>
      <x:c r="C266" s="23" t="s">
        <x:v>396</x:v>
      </x:c>
      <x:c r="D266" s="23" t="s">
        <x:v>396</x:v>
      </x:c>
      <x:c r="E266" s="22" t="s">
        <x:v>43</x:v>
      </x:c>
      <x:c r="F266" s="23" t="s">
        <x:v>396</x:v>
      </x:c>
      <x:c r="G266" s="24" t="s">
        <x:v>44</x:v>
      </x:c>
      <x:c r="H266" s="25" t="str">
        <x:f t="shared" si="4">IF(G266&lt;&gt;"","COMPLETE","PENDING")</x:f>
        <x:v>COMPLETE</x:v>
      </x:c>
    </x:row>
    <x:row r="267" ht="14.75">
      <x:c r="A267" s="29">
        <x:v>263</x:v>
      </x:c>
      <x:c r="B267" s="30" t="s">
        <x:v>397</x:v>
      </x:c>
      <x:c r="C267" s="31" t="s">
        <x:v>78</x:v>
      </x:c>
      <x:c r="D267" s="31" t="s">
        <x:v>78</x:v>
      </x:c>
      <x:c r="E267" s="30" t="s">
        <x:v>43</x:v>
      </x:c>
      <x:c r="F267" s="31" t="s">
        <x:v>78</x:v>
      </x:c>
      <x:c r="G267" s="32" t="s">
        <x:v>58</x:v>
      </x:c>
      <x:c r="H267" s="33" t="str">
        <x:f t="shared" si="4">IF(G267&lt;&gt;"","COMPLETE","PENDING")</x:f>
        <x:v>COMPLETE</x:v>
      </x:c>
    </x:row>
  </x:sheetData>
  <x:mergeCells>
    <x:mergeCell ref="A1:H2"/>
    <x:mergeCell ref="A3:H3"/>
  </x:mergeCells>
  <x:conditionalFormatting sqref="H5:H267">
    <x:cfRule type="containsText" dxfId="1" priority="1" operator="containsText" text="COMPLETE"/>
    <x:cfRule type="containsText" dxfId="0" priority="2" operator="containsText" text="PENDING"/>
  </x:conditionalFormatting>
  <x:dataValidations count="1">
    <x:dataValidation type="list" sqref="G5:G267">
      <x:formula1>"ACCEPTABLE,UNACCEPTABLE,CANNOT_DECIDE"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923704f3f3c487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0" customWidth="1"/>
    <x:col min="2" max="4" width="48" customWidth="1"/>
  </x:cols>
  <x:sheetData>
    <x:row r="1">
      <x:c r="A1" s="52" t="s">
        <x:v>398</x:v>
      </x:c>
      <x:c r="B1" s="52" t="s">
        <x:v>398</x:v>
      </x:c>
      <x:c r="C1" s="52" t="s">
        <x:v>398</x:v>
      </x:c>
      <x:c r="D1" s="52" t="s">
        <x:v>398</x:v>
      </x:c>
    </x:row>
    <x:row r="2">
      <x:c r="A2" s="52" t="s">
        <x:v>398</x:v>
      </x:c>
      <x:c r="B2" s="52" t="s">
        <x:v>398</x:v>
      </x:c>
      <x:c r="C2" s="52" t="s">
        <x:v>398</x:v>
      </x:c>
      <x:c r="D2" s="52" t="s">
        <x:v>398</x:v>
      </x:c>
    </x:row>
    <x:row r="3" ht="14.75">
      <x:c r="A3" s="1"/>
      <x:c r="B3" s="1"/>
      <x:c r="C3" s="1"/>
      <x:c r="D3" s="1"/>
    </x:row>
    <x:row r="4" ht="14.75">
      <x:c r="A4" s="34" t="s">
        <x:v>399</x:v>
      </x:c>
      <x:c r="B4" s="35" t="s">
        <x:v>400</x:v>
      </x:c>
      <x:c r="C4" s="35" t="s">
        <x:v>401</x:v>
      </x:c>
      <x:c r="D4" s="36" t="s">
        <x:v>402</x:v>
      </x:c>
    </x:row>
    <x:row r="5" ht="48" customHeight="1">
      <x:c r="A5" s="37" t="s">
        <x:v>44</x:v>
      </x:c>
      <x:c r="B5" s="38" t="s">
        <x:v>403</x:v>
      </x:c>
      <x:c r="C5" s="38" t="s">
        <x:v>404</x:v>
      </x:c>
      <x:c r="D5" s="39" t="s">
        <x:v>405</x:v>
      </x:c>
    </x:row>
    <x:row r="6" ht="48" customHeight="1">
      <x:c r="A6" s="37" t="s">
        <x:v>58</x:v>
      </x:c>
      <x:c r="B6" s="38" t="s">
        <x:v>406</x:v>
      </x:c>
      <x:c r="C6" s="38" t="s">
        <x:v>407</x:v>
      </x:c>
      <x:c r="D6" s="39" t="s">
        <x:v>408</x:v>
      </x:c>
    </x:row>
    <x:row r="7" ht="48" customHeight="1">
      <x:c r="A7" s="37" t="s">
        <x:v>47</x:v>
      </x:c>
      <x:c r="B7" s="38" t="s">
        <x:v>409</x:v>
      </x:c>
      <x:c r="C7" s="38" t="s">
        <x:v>410</x:v>
      </x:c>
      <x:c r="D7" s="39" t="s">
        <x:v>411</x:v>
      </x:c>
    </x:row>
    <x:row r="8" ht="48" customHeight="1">
      <x:c r="A8" s="37"/>
      <x:c r="B8" s="38"/>
      <x:c r="C8" s="38"/>
      <x:c r="D8" s="39"/>
    </x:row>
    <x:row r="9" ht="48" customHeight="1">
      <x:c r="A9" s="40" t="s">
        <x:v>412</x:v>
      </x:c>
      <x:c r="B9" s="41" t="s">
        <x:v>3</x:v>
      </x:c>
      <x:c r="C9" s="41" t="s">
        <x:v>413</x:v>
      </x:c>
      <x:c r="D9" s="42" t="s">
        <x:v>414</x:v>
      </x:c>
    </x:row>
    <x:row r="10" ht="48" customHeight="1">
      <x:c r="A10" s="37" t="s">
        <x:v>415</x:v>
      </x:c>
      <x:c r="B10" s="38" t="s">
        <x:v>416</x:v>
      </x:c>
      <x:c r="C10" s="38" t="s">
        <x:v>417</x:v>
      </x:c>
      <x:c r="D10" s="39" t="s">
        <x:v>418</x:v>
      </x:c>
    </x:row>
    <x:row r="11" ht="48" customHeight="1">
      <x:c r="A11" s="37" t="s">
        <x:v>419</x:v>
      </x:c>
      <x:c r="B11" s="38" t="s">
        <x:v>420</x:v>
      </x:c>
      <x:c r="C11" s="38" t="s">
        <x:v>421</x:v>
      </x:c>
      <x:c r="D11" s="39" t="s">
        <x:v>422</x:v>
      </x:c>
    </x:row>
    <x:row r="12" ht="48" customHeight="1">
      <x:c r="A12" s="37" t="s">
        <x:v>423</x:v>
      </x:c>
      <x:c r="B12" s="38" t="s">
        <x:v>424</x:v>
      </x:c>
      <x:c r="C12" s="38" t="s">
        <x:v>425</x:v>
      </x:c>
      <x:c r="D12" s="39" t="s">
        <x:v>426</x:v>
      </x:c>
    </x:row>
    <x:row r="13" ht="48" customHeight="1">
      <x:c r="A13" s="37" t="s">
        <x:v>427</x:v>
      </x:c>
      <x:c r="B13" s="38" t="s">
        <x:v>428</x:v>
      </x:c>
      <x:c r="C13" s="38" t="s">
        <x:v>429</x:v>
      </x:c>
      <x:c r="D13" s="39" t="s">
        <x:v>430</x:v>
      </x:c>
    </x:row>
    <x:row r="14" ht="48" customHeight="1">
      <x:c r="A14" s="37" t="s">
        <x:v>431</x:v>
      </x:c>
      <x:c r="B14" s="38" t="s">
        <x:v>432</x:v>
      </x:c>
      <x:c r="C14" s="38" t="s">
        <x:v>433</x:v>
      </x:c>
      <x:c r="D14" s="39" t="s">
        <x:v>434</x:v>
      </x:c>
    </x:row>
    <x:row r="15" ht="14.75">
      <x:c r="A15" s="43"/>
      <x:c r="B15" s="38"/>
      <x:c r="C15" s="38"/>
      <x:c r="D15" s="39"/>
    </x:row>
    <x:row r="16" ht="52" customHeight="1">
      <x:c r="A16" s="58" t="s">
        <x:v>435</x:v>
      </x:c>
      <x:c r="B16" s="59" t="s">
        <x:v>435</x:v>
      </x:c>
      <x:c r="C16" s="59" t="s">
        <x:v>435</x:v>
      </x:c>
      <x:c r="D16" s="60" t="s">
        <x:v>435</x:v>
      </x:c>
    </x:row>
  </x:sheetData>
  <x:mergeCells>
    <x:mergeCell ref="A1:D2"/>
    <x:mergeCell ref="A16:D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51" customWidth="1"/>
    <x:col min="2" max="2" width="38" customWidth="1"/>
    <x:col min="3" max="4" width="16" customWidth="1"/>
  </x:cols>
  <x:sheetData>
    <x:row r="1">
      <x:c r="A1" s="52" t="s">
        <x:v>436</x:v>
      </x:c>
      <x:c r="B1" s="52" t="s">
        <x:v>436</x:v>
      </x:c>
      <x:c r="C1" s="52" t="s">
        <x:v>436</x:v>
      </x:c>
      <x:c r="D1" s="52" t="s">
        <x:v>436</x:v>
      </x:c>
    </x:row>
    <x:row r="2">
      <x:c r="A2" s="52" t="s">
        <x:v>436</x:v>
      </x:c>
      <x:c r="B2" s="52" t="s">
        <x:v>436</x:v>
      </x:c>
      <x:c r="C2" s="52" t="s">
        <x:v>436</x:v>
      </x:c>
      <x:c r="D2" s="52" t="s">
        <x:v>436</x:v>
      </x:c>
    </x:row>
    <x:row r="3" ht="14.75">
      <x:c r="A3" s="1"/>
      <x:c r="B3" s="1"/>
      <x:c r="C3" s="1"/>
      <x:c r="D3" s="1"/>
    </x:row>
    <x:row r="4" ht="14.75">
      <x:c r="A4" s="2" t="s">
        <x:v>437</x:v>
      </x:c>
      <x:c r="B4" s="2" t="s">
        <x:v>438</x:v>
      </x:c>
      <x:c r="C4" s="1"/>
      <x:c r="D4" s="1"/>
    </x:row>
    <x:row r="5" ht="32" customHeight="1">
      <x:c r="A5" s="44" t="s">
        <x:v>439</x:v>
      </x:c>
      <x:c r="B5" s="45" t="s">
        <x:v>440</x:v>
      </x:c>
      <x:c r="C5" s="1"/>
      <x:c r="D5" s="1"/>
    </x:row>
    <x:row r="6" ht="32" customHeight="1">
      <x:c r="A6" s="46" t="s">
        <x:v>441</x:v>
      </x:c>
      <x:c r="B6" s="47" t="s">
        <x:v>442</x:v>
      </x:c>
      <x:c r="C6" s="1"/>
      <x:c r="D6" s="1"/>
    </x:row>
    <x:row r="7" ht="32" customHeight="1">
      <x:c r="A7" s="46" t="s">
        <x:v>443</x:v>
      </x:c>
      <x:c r="B7" s="47" t="s">
        <x:v>444</x:v>
      </x:c>
      <x:c r="C7" s="1"/>
      <x:c r="D7" s="1"/>
    </x:row>
    <x:row r="8" ht="32" customHeight="1">
      <x:c r="A8" s="46" t="s">
        <x:v>445</x:v>
      </x:c>
      <x:c r="B8" s="47" t="s">
        <x:v>444</x:v>
      </x:c>
      <x:c r="C8" s="1"/>
      <x:c r="D8" s="1"/>
    </x:row>
    <x:row r="9" ht="32" customHeight="1">
      <x:c r="A9" s="46" t="s">
        <x:v>446</x:v>
      </x:c>
      <x:c r="B9" s="47" t="s">
        <x:v>444</x:v>
      </x:c>
      <x:c r="C9" s="1"/>
      <x:c r="D9" s="1"/>
    </x:row>
    <x:row r="10" ht="32" customHeight="1">
      <x:c r="A10" s="46" t="s">
        <x:v>447</x:v>
      </x:c>
      <x:c r="B10" s="47" t="s">
        <x:v>448</x:v>
      </x:c>
      <x:c r="C10" s="1"/>
      <x:c r="D10" s="1"/>
    </x:row>
    <x:row r="11" ht="32" customHeight="1">
      <x:c r="A11" s="46" t="s">
        <x:v>449</x:v>
      </x:c>
      <x:c r="B11" s="47" t="s">
        <x:v>444</x:v>
      </x:c>
      <x:c r="C11" s="1"/>
      <x:c r="D11" s="1"/>
    </x:row>
    <x:row r="12" ht="32" customHeight="1">
      <x:c r="A12" s="46" t="s">
        <x:v>450</x:v>
      </x:c>
      <x:c r="B12" s="47" t="s">
        <x:v>444</x:v>
      </x:c>
      <x:c r="C12" s="1"/>
      <x:c r="D12" s="1"/>
    </x:row>
    <x:row r="13" ht="32" customHeight="1">
      <x:c r="A13" s="46" t="s">
        <x:v>451</x:v>
      </x:c>
      <x:c r="B13" s="47" t="s">
        <x:v>444</x:v>
      </x:c>
      <x:c r="C13" s="1"/>
      <x:c r="D13" s="1"/>
    </x:row>
    <x:row r="14" ht="32" customHeight="1">
      <x:c r="A14" s="46" t="s">
        <x:v>452</x:v>
      </x:c>
      <x:c r="B14" s="47" t="s">
        <x:v>444</x:v>
      </x:c>
      <x:c r="C14" s="1"/>
      <x:c r="D14" s="1"/>
    </x:row>
    <x:row r="15" ht="32" customHeight="1">
      <x:c r="A15" s="48" t="s">
        <x:v>453</x:v>
      </x:c>
      <x:c r="B15" s="49" t="s">
        <x:v>444</x:v>
      </x:c>
      <x:c r="C15" s="1"/>
      <x:c r="D15" s="1"/>
    </x:row>
    <x:row r="16" ht="14.75">
      <x:c r="A16" s="1"/>
      <x:c r="B16" s="1"/>
      <x:c r="C16" s="1"/>
      <x:c r="D16" s="1"/>
    </x:row>
    <x:row r="17" ht="14.75">
      <x:c r="A17" s="54" t="s">
        <x:v>454</x:v>
      </x:c>
      <x:c r="B17" s="54" t="s">
        <x:v>454</x:v>
      </x:c>
      <x:c r="C17" s="54" t="s">
        <x:v>454</x:v>
      </x:c>
      <x:c r="D17" s="54" t="s">
        <x:v>454</x:v>
      </x:c>
    </x:row>
    <x:row r="18" ht="34" customHeight="1">
      <x:c r="A18" s="55" t="str">
        <x:v>All independence and completion confirmations were completed before the Round B lock.</x:v>
      </x:c>
      <x:c r="B18" s="55"/>
      <x:c r="C18" s="55"/>
      <x:c r="D18" s="55"/>
    </x:row>
    <x:row r="19" ht="34" customHeight="1">
      <x:c r="A19" s="55" t="str">
        <x:v>Professional linguist remains NO; this lock does not create linguist approval.</x:v>
      </x:c>
      <x:c r="B19" s="55"/>
      <x:c r="C19" s="55"/>
      <x:c r="D19" s="55"/>
    </x:row>
    <x:row r="20" ht="34" customHeight="1">
      <x:c r="A20" s="55" t="str">
        <x:v>This workbook is LOCKED. Do not edit Round B decisions after this point.</x:v>
      </x:c>
      <x:c r="B20" s="55"/>
      <x:c r="C20" s="55"/>
      <x:c r="D20" s="55"/>
    </x:row>
    <x:row r="21" ht="34" customHeight="1">
      <x:c r="A21" s="55" t="str">
        <x:v>No frozen quality evaluation, ranker change, or MAI-08 work is authorized by this review lock.</x:v>
      </x:c>
      <x:c r="B21" s="55"/>
      <x:c r="C21" s="55"/>
      <x:c r="D21" s="55"/>
    </x:row>
  </x:sheetData>
  <x:mergeCells>
    <x:mergeCell ref="A21:D21"/>
    <x:mergeCell ref="A1:D2"/>
    <x:mergeCell ref="A17:D17"/>
    <x:mergeCell ref="A18:D18"/>
    <x:mergeCell ref="A19:D19"/>
    <x:mergeCell ref="A20:D20"/>
  </x:mergeCells>
  <x:dataValidations count="1">
    <x:dataValidation type="list" sqref="B7:B15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42" customWidth="1"/>
    <x:col min="2" max="2" width="88" customWidth="1"/>
  </x:cols>
  <x:sheetData>
    <x:row r="1">
      <x:c r="A1" s="52" t="str">
        <x:v>Round B Source Integrity — LOCKED</x:v>
      </x:c>
      <x:c r="B1" s="52" t="str">
        <x:v>Round B Source Integrity — LOCKED</x:v>
      </x:c>
      <x:c r="C1" s="52" t="str">
        <x:v>Round B Source Integrity — LOCKED</x:v>
      </x:c>
      <x:c r="D1" s="52" t="str">
        <x:v>Round B Source Integrity — LOCKED</x:v>
      </x:c>
    </x:row>
    <x:row r="2">
      <x:c r="A2" s="52" t="str">
        <x:v>Round B Source Integrity — LOCKED</x:v>
      </x:c>
      <x:c r="B2" s="52" t="str">
        <x:v>Round B Source Integrity — LOCKED</x:v>
      </x:c>
      <x:c r="C2" s="52" t="str">
        <x:v>Round B Source Integrity — LOCKED</x:v>
      </x:c>
      <x:c r="D2" s="52" t="str">
        <x:v>Round B Source Integrity — LOCKED</x:v>
      </x:c>
    </x:row>
    <x:row r="3" ht="14.75">
      <x:c r="A3" s="1"/>
      <x:c r="B3" s="1"/>
      <x:c r="C3" s="1"/>
      <x:c r="D3" s="1"/>
    </x:row>
    <x:row r="4" ht="14.75">
      <x:c r="A4" s="50" t="s">
        <x:v>455</x:v>
      </x:c>
      <x:c r="B4" s="51" t="s">
        <x:v>2</x:v>
      </x:c>
      <x:c r="C4" s="1"/>
      <x:c r="D4" s="1"/>
    </x:row>
    <x:row r="5" ht="34" customHeight="1">
      <x:c r="A5" s="46" t="s">
        <x:v>456</x:v>
      </x:c>
      <x:c r="B5" s="47" t="str">
        <x:v>LOCKED</x:v>
      </x:c>
      <x:c r="C5" s="1"/>
      <x:c r="D5" s="1"/>
    </x:row>
    <x:row r="6" ht="34" customHeight="1">
      <x:c r="A6" s="46" t="s">
        <x:v>457</x:v>
      </x:c>
      <x:c r="B6" s="47" t="s">
        <x:v>458</x:v>
      </x:c>
      <x:c r="C6" s="1"/>
      <x:c r="D6" s="1"/>
    </x:row>
    <x:row r="7" ht="34" customHeight="1">
      <x:c r="A7" s="46" t="s">
        <x:v>459</x:v>
      </x:c>
      <x:c r="B7" s="47" t="s">
        <x:v>460</x:v>
      </x:c>
      <x:c r="C7" s="1"/>
      <x:c r="D7" s="1"/>
    </x:row>
    <x:row r="8" ht="34" customHeight="1">
      <x:c r="A8" s="46" t="s">
        <x:v>461</x:v>
      </x:c>
      <x:c r="B8" s="47">
        <x:v>263</x:v>
      </x:c>
      <x:c r="C8" s="1"/>
      <x:c r="D8" s="1"/>
    </x:row>
    <x:row r="9" ht="34" customHeight="1">
      <x:c r="A9" s="46" t="s">
        <x:v>462</x:v>
      </x:c>
      <x:c r="B9" s="47">
        <x:v>149</x:v>
      </x:c>
      <x:c r="C9" s="1"/>
      <x:c r="D9" s="1"/>
    </x:row>
    <x:row r="10" ht="34" customHeight="1">
      <x:c r="A10" s="46" t="s">
        <x:v>463</x:v>
      </x:c>
      <x:c r="B10" s="47" t="s">
        <x:v>444</x:v>
      </x:c>
      <x:c r="C10" s="1"/>
      <x:c r="D10" s="1"/>
    </x:row>
    <x:row r="11" ht="34" customHeight="1">
      <x:c r="A11" s="46" t="s">
        <x:v>464</x:v>
      </x:c>
      <x:c r="B11" s="47" t="s">
        <x:v>465</x:v>
      </x:c>
      <x:c r="C11" s="1"/>
      <x:c r="D11" s="1"/>
    </x:row>
    <x:row r="12" ht="34" customHeight="1">
      <x:c r="A12" s="46" t="s">
        <x:v>466</x:v>
      </x:c>
      <x:c r="B12" s="47" t="s">
        <x:v>444</x:v>
      </x:c>
      <x:c r="C12" s="1"/>
      <x:c r="D12" s="1"/>
    </x:row>
    <x:row r="13" ht="34" customHeight="1">
      <x:c r="A13" s="46" t="s">
        <x:v>467</x:v>
      </x:c>
      <x:c r="B13" s="47" t="s">
        <x:v>468</x:v>
      </x:c>
      <x:c r="C13" s="1"/>
      <x:c r="D13" s="1"/>
    </x:row>
    <x:row r="14" ht="34" customHeight="1">
      <x:c r="A14" s="46" t="s">
        <x:v>469</x:v>
      </x:c>
      <x:c r="B14" s="47" t="s">
        <x:v>470</x:v>
      </x:c>
      <x:c r="C14" s="1"/>
      <x:c r="D14" s="1"/>
    </x:row>
    <x:row r="15" ht="34" customHeight="1">
      <x:c r="A15" s="48" t="s">
        <x:v>412</x:v>
      </x:c>
      <x:c r="B15" s="49" t="str">
        <x:v>Source fields and human decisions validated. Do not edit after this lock.</x:v>
      </x:c>
      <x:c r="C15" s="1"/>
      <x:c r="D15" s="1"/>
    </x:row>
  </x:sheetData>
  <x:mergeCells>
    <x:mergeCell ref="A1:D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0" hidden="0" customWidth="1"/>
    <x:col min="4" max="4" width="18" hidden="0" customWidth="1"/>
    <x:col min="5" max="5" width="30" hidden="0" customWidth="1"/>
    <x:col min="6" max="6" width="22" hidden="0" customWidth="1"/>
  </x:cols>
  <x:sheetData>
    <x:row r="1">
      <x:c r="A1" s="62" t="str">
        <x:v>review_id</x:v>
      </x:c>
      <x:c r="B1" s="62" t="str">
        <x:v>input_text</x:v>
      </x:c>
      <x:c r="C1" s="62" t="str">
        <x:v>highlighted_span</x:v>
      </x:c>
      <x:c r="D1" s="62" t="str">
        <x:v>candidate_index</x:v>
      </x:c>
      <x:c r="E1" s="62" t="str">
        <x:v>candidate_surface</x:v>
      </x:c>
      <x:c r="F1" s="62" t="str">
        <x:v>acceptability</x:v>
      </x:c>
    </x:row>
    <x:row r="2">
      <x:c r="A2" s="64" t="str">
        <x:v>R3A-39CE6CDF4E01</x:v>
      </x:c>
      <x:c r="B2" s="64" t="str">
        <x:v>by</x:v>
      </x:c>
      <x:c r="C2" s="64" t="str">
        <x:v>by</x:v>
      </x:c>
      <x:c r="D2" s="64" t="str">
        <x:v>0</x:v>
      </x:c>
      <x:c r="E2" s="64" t="str">
        <x:v>by</x:v>
      </x:c>
      <x:c r="F2" s="64" t="str">
        <x:v>ACCEPTABLE</x:v>
      </x:c>
    </x:row>
    <x:row r="3">
      <x:c r="A3" s="64" t="str">
        <x:v>R3A-D928292459B8</x:v>
      </x:c>
      <x:c r="B3" s="64" t="str">
        <x:v>foobar</x:v>
      </x:c>
      <x:c r="C3" s="64" t="str">
        <x:v>foobar</x:v>
      </x:c>
      <x:c r="D3" s="64" t="str">
        <x:v>0</x:v>
      </x:c>
      <x:c r="E3" s="64" t="str">
        <x:v>foobar</x:v>
      </x:c>
      <x:c r="F3" s="64" t="str">
        <x:v>CANNOT_DECIDE</x:v>
      </x:c>
    </x:row>
    <x:row r="4">
      <x:c r="A4" s="64" t="str">
        <x:v>R3A-5F1F96BF1D8A</x:v>
      </x:c>
      <x:c r="B4" s="64" t="str">
        <x:v>namaste</x:v>
      </x:c>
      <x:c r="C4" s="64" t="str">
        <x:v>namaste</x:v>
      </x:c>
      <x:c r="D4" s="64" t="str">
        <x:v>0</x:v>
      </x:c>
      <x:c r="E4" s="64" t="str">
        <x:v>नमस्ते</x:v>
      </x:c>
      <x:c r="F4" s="64" t="str">
        <x:v>ACCEPTABLE</x:v>
      </x:c>
    </x:row>
    <x:row r="5">
      <x:c r="A5" s="64" t="str">
        <x:v>R3A-5F1F96BF1D8A</x:v>
      </x:c>
      <x:c r="B5" s="64" t="str">
        <x:v>namaste</x:v>
      </x:c>
      <x:c r="C5" s="64" t="str">
        <x:v>namaste</x:v>
      </x:c>
      <x:c r="D5" s="64" t="str">
        <x:v>1</x:v>
      </x:c>
      <x:c r="E5" s="64" t="str">
        <x:v>namaste</x:v>
      </x:c>
      <x:c r="F5" s="64" t="str">
        <x:v>ACCEPTABLE</x:v>
      </x:c>
    </x:row>
    <x:row r="6">
      <x:c r="A6" s="64" t="str">
        <x:v>R3A-E4A4DA896D92</x:v>
      </x:c>
      <x:c r="B6" s="64" t="str">
        <x:v>debit</x:v>
      </x:c>
      <x:c r="C6" s="64" t="str">
        <x:v>debit</x:v>
      </x:c>
      <x:c r="D6" s="64" t="str">
        <x:v>0</x:v>
      </x:c>
      <x:c r="E6" s="64" t="str">
        <x:v>debit</x:v>
      </x:c>
      <x:c r="F6" s="64" t="str">
        <x:v>ACCEPTABLE</x:v>
      </x:c>
    </x:row>
    <x:row r="7">
      <x:c r="A7" s="64" t="str">
        <x:v>R3A-E4A4DA896D92</x:v>
      </x:c>
      <x:c r="B7" s="64" t="str">
        <x:v>debit</x:v>
      </x:c>
      <x:c r="C7" s="64" t="str">
        <x:v>debit</x:v>
      </x:c>
      <x:c r="D7" s="64" t="str">
        <x:v>1</x:v>
      </x:c>
      <x:c r="E7" s="64" t="str">
        <x:v>डेबिट</x:v>
      </x:c>
      <x:c r="F7" s="64" t="str">
        <x:v>ACCEPTABLE</x:v>
      </x:c>
    </x:row>
    <x:row r="8">
      <x:c r="A8" s="64" t="str">
        <x:v>R3A-E5A7E27F52DC</x:v>
      </x:c>
      <x:c r="B8" s="64" t="str">
        <x:v>is</x:v>
      </x:c>
      <x:c r="C8" s="64" t="str">
        <x:v>is</x:v>
      </x:c>
      <x:c r="D8" s="64" t="str">
        <x:v>0</x:v>
      </x:c>
      <x:c r="E8" s="64" t="str">
        <x:v>is</x:v>
      </x:c>
      <x:c r="F8" s="64" t="str">
        <x:v>ACCEPTABLE</x:v>
      </x:c>
    </x:row>
    <x:row r="9">
      <x:c r="A9" s="64" t="str">
        <x:v>R3A-08D2D9E18C3E</x:v>
      </x:c>
      <x:c r="B9" s="64" t="str">
        <x:v>foobar</x:v>
      </x:c>
      <x:c r="C9" s="64" t="str">
        <x:v>foobar</x:v>
      </x:c>
      <x:c r="D9" s="64" t="str">
        <x:v>0</x:v>
      </x:c>
      <x:c r="E9" s="64" t="str">
        <x:v>foobar</x:v>
      </x:c>
      <x:c r="F9" s="64" t="str">
        <x:v>UNACCEPTABLE</x:v>
      </x:c>
    </x:row>
    <x:row r="10">
      <x:c r="A10" s="64" t="str">
        <x:v>R3A-347C5BF89E23</x:v>
      </x:c>
      <x:c r="B10" s="64" t="str">
        <x:v>dhanyabad</x:v>
      </x:c>
      <x:c r="C10" s="64" t="str">
        <x:v>dhanyabad</x:v>
      </x:c>
      <x:c r="D10" s="64" t="str">
        <x:v>0</x:v>
      </x:c>
      <x:c r="E10" s="64" t="str">
        <x:v>dhanyabad</x:v>
      </x:c>
      <x:c r="F10" s="64" t="str">
        <x:v>ACCEPTABLE</x:v>
      </x:c>
    </x:row>
    <x:row r="11">
      <x:c r="A11" s="64" t="str">
        <x:v>R3A-347C5BF89E23</x:v>
      </x:c>
      <x:c r="B11" s="64" t="str">
        <x:v>dhanyabad</x:v>
      </x:c>
      <x:c r="C11" s="64" t="str">
        <x:v>dhanyabad</x:v>
      </x:c>
      <x:c r="D11" s="64" t="str">
        <x:v>1</x:v>
      </x:c>
      <x:c r="E11" s="64" t="str">
        <x:v>धन्यवाद</x:v>
      </x:c>
      <x:c r="F11" s="64" t="str">
        <x:v>ACCEPTABLE</x:v>
      </x:c>
    </x:row>
    <x:row r="12">
      <x:c r="A12" s="64" t="str">
        <x:v>R3A-2D51C4838C53</x:v>
      </x:c>
      <x:c r="B12" s="64" t="str">
        <x:v>of</x:v>
      </x:c>
      <x:c r="C12" s="64" t="str">
        <x:v>of</x:v>
      </x:c>
      <x:c r="D12" s="64" t="str">
        <x:v>0</x:v>
      </x:c>
      <x:c r="E12" s="64" t="str">
        <x:v>of</x:v>
      </x:c>
      <x:c r="F12" s="64" t="str">
        <x:v>ACCEPTABLE</x:v>
      </x:c>
    </x:row>
    <x:row r="13">
      <x:c r="A13" s="64" t="str">
        <x:v>R3A-70E44521539E</x:v>
      </x:c>
      <x:c r="B13" s="64" t="str">
        <x:v>qwerty</x:v>
      </x:c>
      <x:c r="C13" s="64" t="str">
        <x:v>qwerty</x:v>
      </x:c>
      <x:c r="D13" s="64" t="str">
        <x:v>0</x:v>
      </x:c>
      <x:c r="E13" s="64" t="str">
        <x:v>qwerty</x:v>
      </x:c>
      <x:c r="F13" s="64" t="str">
        <x:v>UNACCEPTABLE</x:v>
      </x:c>
    </x:row>
    <x:row r="14">
      <x:c r="A14" s="64" t="str">
        <x:v>R3A-3E876C1291B7</x:v>
      </x:c>
      <x:c r="B14" s="64" t="str">
        <x:v>qwerty</x:v>
      </x:c>
      <x:c r="C14" s="64" t="str">
        <x:v>qwerty</x:v>
      </x:c>
      <x:c r="D14" s="64" t="str">
        <x:v>0</x:v>
      </x:c>
      <x:c r="E14" s="64" t="str">
        <x:v>qwerty</x:v>
      </x:c>
      <x:c r="F14" s="64" t="str">
        <x:v>UNACCEPTABLE</x:v>
      </x:c>
    </x:row>
    <x:row r="15">
      <x:c r="A15" s="64" t="str">
        <x:v>R3A-39EB0539DAC9</x:v>
      </x:c>
      <x:c r="B15" s="64" t="str">
        <x:v>purchase</x:v>
      </x:c>
      <x:c r="C15" s="64" t="str">
        <x:v>purchase</x:v>
      </x:c>
      <x:c r="D15" s="64" t="str">
        <x:v>0</x:v>
      </x:c>
      <x:c r="E15" s="64" t="str">
        <x:v>purchase</x:v>
      </x:c>
      <x:c r="F15" s="64" t="str">
        <x:v>ACCEPTABLE</x:v>
      </x:c>
    </x:row>
    <x:row r="16">
      <x:c r="A16" s="64" t="str">
        <x:v>R3A-A5F31D8C84CB</x:v>
      </x:c>
      <x:c r="B16" s="64" t="str">
        <x:v>jaanu</x:v>
      </x:c>
      <x:c r="C16" s="64" t="str">
        <x:v>jaanu</x:v>
      </x:c>
      <x:c r="D16" s="64" t="str">
        <x:v>0</x:v>
      </x:c>
      <x:c r="E16" s="64" t="str">
        <x:v>jaanu</x:v>
      </x:c>
      <x:c r="F16" s="64" t="str">
        <x:v>ACCEPTABLE</x:v>
      </x:c>
    </x:row>
    <x:row r="17">
      <x:c r="A17" s="64" t="str">
        <x:v>R3A-A5F31D8C84CB</x:v>
      </x:c>
      <x:c r="B17" s="64" t="str">
        <x:v>jaanu</x:v>
      </x:c>
      <x:c r="C17" s="64" t="str">
        <x:v>jaanu</x:v>
      </x:c>
      <x:c r="D17" s="64" t="str">
        <x:v>1</x:v>
      </x:c>
      <x:c r="E17" s="64" t="str">
        <x:v>जानु</x:v>
      </x:c>
      <x:c r="F17" s="64" t="str">
        <x:v>ACCEPTABLE</x:v>
      </x:c>
    </x:row>
    <x:row r="18">
      <x:c r="A18" s="64" t="str">
        <x:v>R3A-CC3C5545DFF2</x:v>
      </x:c>
      <x:c r="B18" s="64" t="str">
        <x:v>sale</x:v>
      </x:c>
      <x:c r="C18" s="64" t="str">
        <x:v>sale</x:v>
      </x:c>
      <x:c r="D18" s="64" t="str">
        <x:v>0</x:v>
      </x:c>
      <x:c r="E18" s="64" t="str">
        <x:v>sale</x:v>
      </x:c>
      <x:c r="F18" s="64" t="str">
        <x:v>ACCEPTABLE</x:v>
      </x:c>
    </x:row>
    <x:row r="19">
      <x:c r="A19" s="64" t="str">
        <x:v>R3A-CDED5E4068C3</x:v>
      </x:c>
      <x:c r="B19" s="64" t="str">
        <x:v>advance</x:v>
      </x:c>
      <x:c r="C19" s="64" t="str">
        <x:v>advance</x:v>
      </x:c>
      <x:c r="D19" s="64" t="str">
        <x:v>0</x:v>
      </x:c>
      <x:c r="E19" s="64" t="str">
        <x:v>एडभान्स</x:v>
      </x:c>
      <x:c r="F19" s="64" t="str">
        <x:v>ACCEPTABLE</x:v>
      </x:c>
    </x:row>
    <x:row r="20">
      <x:c r="A20" s="64" t="str">
        <x:v>R3A-CDED5E4068C3</x:v>
      </x:c>
      <x:c r="B20" s="64" t="str">
        <x:v>advance</x:v>
      </x:c>
      <x:c r="C20" s="64" t="str">
        <x:v>advance</x:v>
      </x:c>
      <x:c r="D20" s="64" t="str">
        <x:v>1</x:v>
      </x:c>
      <x:c r="E20" s="64" t="str">
        <x:v>advance</x:v>
      </x:c>
      <x:c r="F20" s="64" t="str">
        <x:v>ACCEPTABLE</x:v>
      </x:c>
    </x:row>
    <x:row r="21">
      <x:c r="A21" s="64" t="str">
        <x:v>R3A-FD1643D2A572</x:v>
      </x:c>
      <x:c r="B21" s="64" t="str">
        <x:v>xyzzy</x:v>
      </x:c>
      <x:c r="C21" s="64" t="str">
        <x:v>xyzzy</x:v>
      </x:c>
      <x:c r="D21" s="64" t="str">
        <x:v>0</x:v>
      </x:c>
      <x:c r="E21" s="64" t="str">
        <x:v>xyzzy</x:v>
      </x:c>
      <x:c r="F21" s="64" t="str">
        <x:v>UNACCEPTABLE</x:v>
      </x:c>
    </x:row>
    <x:row r="22">
      <x:c r="A22" s="64" t="str">
        <x:v>R3A-CBCF674A4003</x:v>
      </x:c>
      <x:c r="B22" s="64" t="str">
        <x:v>report</x:v>
      </x:c>
      <x:c r="C22" s="64" t="str">
        <x:v>report</x:v>
      </x:c>
      <x:c r="D22" s="64" t="str">
        <x:v>0</x:v>
      </x:c>
      <x:c r="E22" s="64" t="str">
        <x:v>report</x:v>
      </x:c>
      <x:c r="F22" s="64" t="str">
        <x:v>ACCEPTABLE</x:v>
      </x:c>
    </x:row>
    <x:row r="23">
      <x:c r="A23" s="64" t="str">
        <x:v>R3A-CBCF674A4003</x:v>
      </x:c>
      <x:c r="B23" s="64" t="str">
        <x:v>report</x:v>
      </x:c>
      <x:c r="C23" s="64" t="str">
        <x:v>report</x:v>
      </x:c>
      <x:c r="D23" s="64" t="str">
        <x:v>1</x:v>
      </x:c>
      <x:c r="E23" s="64" t="str">
        <x:v>रिपोर्ट</x:v>
      </x:c>
      <x:c r="F23" s="64" t="str">
        <x:v>ACCEPTABLE</x:v>
      </x:c>
    </x:row>
    <x:row r="24">
      <x:c r="A24" s="64" t="str">
        <x:v>R3A-D81C5B5C3197</x:v>
      </x:c>
      <x:c r="B24" s="64" t="str">
        <x:v>due</x:v>
      </x:c>
      <x:c r="C24" s="64" t="str">
        <x:v>due</x:v>
      </x:c>
      <x:c r="D24" s="64" t="str">
        <x:v>0</x:v>
      </x:c>
      <x:c r="E24" s="64" t="str">
        <x:v>due</x:v>
      </x:c>
      <x:c r="F24" s="64" t="str">
        <x:v>ACCEPTABLE</x:v>
      </x:c>
    </x:row>
    <x:row r="25">
      <x:c r="A25" s="64" t="str">
        <x:v>R3A-D81C5B5C3197</x:v>
      </x:c>
      <x:c r="B25" s="64" t="str">
        <x:v>due</x:v>
      </x:c>
      <x:c r="C25" s="64" t="str">
        <x:v>due</x:v>
      </x:c>
      <x:c r="D25" s="64" t="str">
        <x:v>1</x:v>
      </x:c>
      <x:c r="E25" s="64" t="str">
        <x:v>ड्यू</x:v>
      </x:c>
      <x:c r="F25" s="64" t="str">
        <x:v>ACCEPTABLE</x:v>
      </x:c>
    </x:row>
    <x:row r="26">
      <x:c r="A26" s="64" t="str">
        <x:v>R3A-2CAD17A31352</x:v>
      </x:c>
      <x:c r="B26" s="64" t="str">
        <x:v>total</x:v>
      </x:c>
      <x:c r="C26" s="64" t="str">
        <x:v>total</x:v>
      </x:c>
      <x:c r="D26" s="64" t="str">
        <x:v>0</x:v>
      </x:c>
      <x:c r="E26" s="64" t="str">
        <x:v>टोटल</x:v>
      </x:c>
      <x:c r="F26" s="64" t="str">
        <x:v>ACCEPTABLE</x:v>
      </x:c>
    </x:row>
    <x:row r="27">
      <x:c r="A27" s="64" t="str">
        <x:v>R3A-2CAD17A31352</x:v>
      </x:c>
      <x:c r="B27" s="64" t="str">
        <x:v>total</x:v>
      </x:c>
      <x:c r="C27" s="64" t="str">
        <x:v>total</x:v>
      </x:c>
      <x:c r="D27" s="64" t="str">
        <x:v>1</x:v>
      </x:c>
      <x:c r="E27" s="64" t="str">
        <x:v>total</x:v>
      </x:c>
      <x:c r="F27" s="64" t="str">
        <x:v>ACCEPTABLE</x:v>
      </x:c>
    </x:row>
    <x:row r="28">
      <x:c r="A28" s="64" t="str">
        <x:v>R3A-C55159DEA9B4</x:v>
      </x:c>
      <x:c r="B28" s="64" t="str">
        <x:v>balance</x:v>
      </x:c>
      <x:c r="C28" s="64" t="str">
        <x:v>balance</x:v>
      </x:c>
      <x:c r="D28" s="64" t="str">
        <x:v>0</x:v>
      </x:c>
      <x:c r="E28" s="64" t="str">
        <x:v>balance</x:v>
      </x:c>
      <x:c r="F28" s="64" t="str">
        <x:v>ACCEPTABLE</x:v>
      </x:c>
    </x:row>
    <x:row r="29">
      <x:c r="A29" s="64" t="str">
        <x:v>R3A-C55159DEA9B4</x:v>
      </x:c>
      <x:c r="B29" s="64" t="str">
        <x:v>balance</x:v>
      </x:c>
      <x:c r="C29" s="64" t="str">
        <x:v>balance</x:v>
      </x:c>
      <x:c r="D29" s="64" t="str">
        <x:v>1</x:v>
      </x:c>
      <x:c r="E29" s="64" t="str">
        <x:v>ब्यालेन्स</x:v>
      </x:c>
      <x:c r="F29" s="64" t="str">
        <x:v>ACCEPTABLE</x:v>
      </x:c>
    </x:row>
    <x:row r="30">
      <x:c r="A30" s="64" t="str">
        <x:v>R3A-C55159DEA9B4</x:v>
      </x:c>
      <x:c r="B30" s="64" t="str">
        <x:v>balance</x:v>
      </x:c>
      <x:c r="C30" s="64" t="str">
        <x:v>balance</x:v>
      </x:c>
      <x:c r="D30" s="64" t="str">
        <x:v>2</x:v>
      </x:c>
      <x:c r="E30" s="64" t="str">
        <x:v>हिसाब</x:v>
      </x:c>
      <x:c r="F30" s="64" t="str">
        <x:v>ACCEPTABLE</x:v>
      </x:c>
    </x:row>
    <x:row r="31">
      <x:c r="A31" s="64" t="str">
        <x:v>R3A-6D65C017CF24</x:v>
      </x:c>
      <x:c r="B31" s="64" t="str">
        <x:v>lekh</x:v>
      </x:c>
      <x:c r="C31" s="64" t="str">
        <x:v>lekh</x:v>
      </x:c>
      <x:c r="D31" s="64" t="str">
        <x:v>0</x:v>
      </x:c>
      <x:c r="E31" s="64" t="str">
        <x:v>lekh</x:v>
      </x:c>
      <x:c r="F31" s="64" t="str">
        <x:v>ACCEPTABLE</x:v>
      </x:c>
    </x:row>
    <x:row r="32">
      <x:c r="A32" s="64" t="str">
        <x:v>R3A-6D65C017CF24</x:v>
      </x:c>
      <x:c r="B32" s="64" t="str">
        <x:v>lekh</x:v>
      </x:c>
      <x:c r="C32" s="64" t="str">
        <x:v>lekh</x:v>
      </x:c>
      <x:c r="D32" s="64" t="str">
        <x:v>1</x:v>
      </x:c>
      <x:c r="E32" s="64" t="str">
        <x:v>लेख</x:v>
      </x:c>
      <x:c r="F32" s="64" t="str">
        <x:v>ACCEPTABLE</x:v>
      </x:c>
    </x:row>
    <x:row r="33">
      <x:c r="A33" s="64" t="str">
        <x:v>R3A-433EDC9F6C5E</x:v>
      </x:c>
      <x:c r="B33" s="64" t="str">
        <x:v>dherai</x:v>
      </x:c>
      <x:c r="C33" s="64" t="str">
        <x:v>dherai</x:v>
      </x:c>
      <x:c r="D33" s="64" t="str">
        <x:v>0</x:v>
      </x:c>
      <x:c r="E33" s="64" t="str">
        <x:v>dherai</x:v>
      </x:c>
      <x:c r="F33" s="64" t="str">
        <x:v>ACCEPTABLE</x:v>
      </x:c>
    </x:row>
    <x:row r="34">
      <x:c r="A34" s="64" t="str">
        <x:v>R3A-433EDC9F6C5E</x:v>
      </x:c>
      <x:c r="B34" s="64" t="str">
        <x:v>dherai</x:v>
      </x:c>
      <x:c r="C34" s="64" t="str">
        <x:v>dherai</x:v>
      </x:c>
      <x:c r="D34" s="64" t="str">
        <x:v>1</x:v>
      </x:c>
      <x:c r="E34" s="64" t="str">
        <x:v>धेरै</x:v>
      </x:c>
      <x:c r="F34" s="64" t="str">
        <x:v>ACCEPTABLE</x:v>
      </x:c>
    </x:row>
    <x:row r="35">
      <x:c r="A35" s="64" t="str">
        <x:v>R3A-79B012C03064</x:v>
      </x:c>
      <x:c r="B35" s="64" t="str">
        <x:v>sabai</x:v>
      </x:c>
      <x:c r="C35" s="64" t="str">
        <x:v>sabai</x:v>
      </x:c>
      <x:c r="D35" s="64" t="str">
        <x:v>0</x:v>
      </x:c>
      <x:c r="E35" s="64" t="str">
        <x:v>सबै</x:v>
      </x:c>
      <x:c r="F35" s="64" t="str">
        <x:v>ACCEPTABLE</x:v>
      </x:c>
    </x:row>
    <x:row r="36">
      <x:c r="A36" s="64" t="str">
        <x:v>R3A-79B012C03064</x:v>
      </x:c>
      <x:c r="B36" s="64" t="str">
        <x:v>sabai</x:v>
      </x:c>
      <x:c r="C36" s="64" t="str">
        <x:v>sabai</x:v>
      </x:c>
      <x:c r="D36" s="64" t="str">
        <x:v>1</x:v>
      </x:c>
      <x:c r="E36" s="64" t="str">
        <x:v>sabai</x:v>
      </x:c>
      <x:c r="F36" s="64" t="str">
        <x:v>ACCEPTABLE</x:v>
      </x:c>
    </x:row>
    <x:row r="37">
      <x:c r="A37" s="64" t="str">
        <x:v>R3A-589DC1F8F577</x:v>
      </x:c>
      <x:c r="B37" s="64" t="str">
        <x:v>voucher</x:v>
      </x:c>
      <x:c r="C37" s="64" t="str">
        <x:v>voucher</x:v>
      </x:c>
      <x:c r="D37" s="64" t="str">
        <x:v>0</x:v>
      </x:c>
      <x:c r="E37" s="64" t="str">
        <x:v>voucher</x:v>
      </x:c>
      <x:c r="F37" s="64" t="str">
        <x:v>ACCEPTABLE</x:v>
      </x:c>
    </x:row>
    <x:row r="38">
      <x:c r="A38" s="64" t="str">
        <x:v>R3A-249ADDBC500F</x:v>
      </x:c>
      <x:c r="B38" s="64" t="str">
        <x:v>amount</x:v>
      </x:c>
      <x:c r="C38" s="64" t="str">
        <x:v>amount</x:v>
      </x:c>
      <x:c r="D38" s="64" t="str">
        <x:v>0</x:v>
      </x:c>
      <x:c r="E38" s="64" t="str">
        <x:v>amount</x:v>
      </x:c>
      <x:c r="F38" s="64" t="str">
        <x:v>ACCEPTABLE</x:v>
      </x:c>
    </x:row>
    <x:row r="39">
      <x:c r="A39" s="64" t="str">
        <x:v>R3A-C7D45E4B6625</x:v>
      </x:c>
      <x:c r="B39" s="64" t="str">
        <x:v>znxg</x:v>
      </x:c>
      <x:c r="C39" s="64" t="str">
        <x:v>znxg</x:v>
      </x:c>
      <x:c r="D39" s="64" t="str">
        <x:v>0</x:v>
      </x:c>
      <x:c r="E39" s="64" t="str">
        <x:v>znxg</x:v>
      </x:c>
      <x:c r="F39" s="64" t="str">
        <x:v>UNACCEPTABLE</x:v>
      </x:c>
    </x:row>
    <x:row r="40">
      <x:c r="A40" s="64" t="str">
        <x:v>R3A-1ECE91757DA9</x:v>
      </x:c>
      <x:c r="B40" s="64" t="str">
        <x:v>blorp</x:v>
      </x:c>
      <x:c r="C40" s="64" t="str">
        <x:v>blorp</x:v>
      </x:c>
      <x:c r="D40" s="64" t="str">
        <x:v>0</x:v>
      </x:c>
      <x:c r="E40" s="64" t="str">
        <x:v>blorp</x:v>
      </x:c>
      <x:c r="F40" s="64" t="str">
        <x:v>UNACCEPTABLE</x:v>
      </x:c>
    </x:row>
    <x:row r="41">
      <x:c r="A41" s="64" t="str">
        <x:v>R3A-1E521567ADDA</x:v>
      </x:c>
      <x:c r="B41" s="64" t="str">
        <x:v>mary</x:v>
      </x:c>
      <x:c r="C41" s="64" t="str">
        <x:v>mary</x:v>
      </x:c>
      <x:c r="D41" s="64" t="str">
        <x:v>0</x:v>
      </x:c>
      <x:c r="E41" s="64" t="str">
        <x:v>mary</x:v>
      </x:c>
      <x:c r="F41" s="64" t="str">
        <x:v>UNACCEPTABLE</x:v>
      </x:c>
    </x:row>
    <x:row r="42">
      <x:c r="A42" s="64" t="str">
        <x:v>R3A-F3D8DE0BFE22</x:v>
      </x:c>
      <x:c r="B42" s="64" t="str">
        <x:v>xyzzy</x:v>
      </x:c>
      <x:c r="C42" s="64" t="str">
        <x:v>xyzzy</x:v>
      </x:c>
      <x:c r="D42" s="64" t="str">
        <x:v>0</x:v>
      </x:c>
      <x:c r="E42" s="64" t="str">
        <x:v>xyzzy</x:v>
      </x:c>
      <x:c r="F42" s="64" t="str">
        <x:v>UNACCEPTABLE</x:v>
      </x:c>
    </x:row>
    <x:row r="43">
      <x:c r="A43" s="64" t="str">
        <x:v>R3A-BA4616E7C135</x:v>
      </x:c>
      <x:c r="B43" s="64" t="str">
        <x:v>owner</x:v>
      </x:c>
      <x:c r="C43" s="64" t="str">
        <x:v>owner</x:v>
      </x:c>
      <x:c r="D43" s="64" t="str">
        <x:v>0</x:v>
      </x:c>
      <x:c r="E43" s="64" t="str">
        <x:v>मालिक</x:v>
      </x:c>
      <x:c r="F43" s="64" t="str">
        <x:v>ACCEPTABLE</x:v>
      </x:c>
    </x:row>
    <x:row r="44">
      <x:c r="A44" s="64" t="str">
        <x:v>R3A-BA4616E7C135</x:v>
      </x:c>
      <x:c r="B44" s="64" t="str">
        <x:v>owner</x:v>
      </x:c>
      <x:c r="C44" s="64" t="str">
        <x:v>owner</x:v>
      </x:c>
      <x:c r="D44" s="64" t="str">
        <x:v>1</x:v>
      </x:c>
      <x:c r="E44" s="64" t="str">
        <x:v>owner</x:v>
      </x:c>
      <x:c r="F44" s="64" t="str">
        <x:v>ACCEPTABLE</x:v>
      </x:c>
    </x:row>
    <x:row r="45">
      <x:c r="A45" s="64" t="str">
        <x:v>R3A-52B1B116547F</x:v>
      </x:c>
      <x:c r="B45" s="64" t="str">
        <x:v>anita</x:v>
      </x:c>
      <x:c r="C45" s="64" t="str">
        <x:v>anita</x:v>
      </x:c>
      <x:c r="D45" s="64" t="str">
        <x:v>0</x:v>
      </x:c>
      <x:c r="E45" s="64" t="str">
        <x:v>अनिता</x:v>
      </x:c>
      <x:c r="F45" s="64" t="str">
        <x:v>ACCEPTABLE</x:v>
      </x:c>
    </x:row>
    <x:row r="46">
      <x:c r="A46" s="64" t="str">
        <x:v>R3A-52B1B116547F</x:v>
      </x:c>
      <x:c r="B46" s="64" t="str">
        <x:v>anita</x:v>
      </x:c>
      <x:c r="C46" s="64" t="str">
        <x:v>anita</x:v>
      </x:c>
      <x:c r="D46" s="64" t="str">
        <x:v>1</x:v>
      </x:c>
      <x:c r="E46" s="64" t="str">
        <x:v>anita</x:v>
      </x:c>
      <x:c r="F46" s="64" t="str">
        <x:v>ACCEPTABLE</x:v>
      </x:c>
    </x:row>
    <x:row r="47">
      <x:c r="A47" s="64" t="str">
        <x:v>R3A-DEC366606C62</x:v>
      </x:c>
      <x:c r="B47" s="64" t="str">
        <x:v>ram</x:v>
      </x:c>
      <x:c r="C47" s="64" t="str">
        <x:v>ram</x:v>
      </x:c>
      <x:c r="D47" s="64" t="str">
        <x:v>0</x:v>
      </x:c>
      <x:c r="E47" s="64" t="str">
        <x:v>राम</x:v>
      </x:c>
      <x:c r="F47" s="64" t="str">
        <x:v>ACCEPTABLE</x:v>
      </x:c>
    </x:row>
    <x:row r="48">
      <x:c r="A48" s="64" t="str">
        <x:v>R3A-DEC366606C62</x:v>
      </x:c>
      <x:c r="B48" s="64" t="str">
        <x:v>ram</x:v>
      </x:c>
      <x:c r="C48" s="64" t="str">
        <x:v>ram</x:v>
      </x:c>
      <x:c r="D48" s="64" t="str">
        <x:v>1</x:v>
      </x:c>
      <x:c r="E48" s="64" t="str">
        <x:v>रम</x:v>
      </x:c>
      <x:c r="F48" s="64" t="str">
        <x:v>UNACCEPTABLE</x:v>
      </x:c>
    </x:row>
    <x:row r="49">
      <x:c r="A49" s="64" t="str">
        <x:v>R3A-DEC366606C62</x:v>
      </x:c>
      <x:c r="B49" s="64" t="str">
        <x:v>ram</x:v>
      </x:c>
      <x:c r="C49" s="64" t="str">
        <x:v>ram</x:v>
      </x:c>
      <x:c r="D49" s="64" t="str">
        <x:v>2</x:v>
      </x:c>
      <x:c r="E49" s="64" t="str">
        <x:v>ram</x:v>
      </x:c>
      <x:c r="F49" s="64" t="str">
        <x:v>ACCEPTABLE</x:v>
      </x:c>
    </x:row>
    <x:row r="50">
      <x:c r="A50" s="64" t="str">
        <x:v>R3A-E835A1D01157</x:v>
      </x:c>
      <x:c r="B50" s="64" t="str">
        <x:v>gita</x:v>
      </x:c>
      <x:c r="C50" s="64" t="str">
        <x:v>gita</x:v>
      </x:c>
      <x:c r="D50" s="64" t="str">
        <x:v>0</x:v>
      </x:c>
      <x:c r="E50" s="64" t="str">
        <x:v>गइत</x:v>
      </x:c>
      <x:c r="F50" s="64" t="str">
        <x:v>UNACCEPTABLE</x:v>
      </x:c>
    </x:row>
    <x:row r="51">
      <x:c r="A51" s="64" t="str">
        <x:v>R3A-E835A1D01157</x:v>
      </x:c>
      <x:c r="B51" s="64" t="str">
        <x:v>gita</x:v>
      </x:c>
      <x:c r="C51" s="64" t="str">
        <x:v>gita</x:v>
      </x:c>
      <x:c r="D51" s="64" t="str">
        <x:v>1</x:v>
      </x:c>
      <x:c r="E51" s="64" t="str">
        <x:v>गीता</x:v>
      </x:c>
      <x:c r="F51" s="64" t="str">
        <x:v>ACCEPTABLE</x:v>
      </x:c>
    </x:row>
    <x:row r="52">
      <x:c r="A52" s="64" t="str">
        <x:v>R3A-E835A1D01157</x:v>
      </x:c>
      <x:c r="B52" s="64" t="str">
        <x:v>gita</x:v>
      </x:c>
      <x:c r="C52" s="64" t="str">
        <x:v>gita</x:v>
      </x:c>
      <x:c r="D52" s="64" t="str">
        <x:v>2</x:v>
      </x:c>
      <x:c r="E52" s="64" t="str">
        <x:v>gita</x:v>
      </x:c>
      <x:c r="F52" s="64" t="str">
        <x:v>ACCEPTABLE</x:v>
      </x:c>
    </x:row>
    <x:row r="53">
      <x:c r="A53" s="64" t="str">
        <x:v>R3A-F16AFA9E4AC3</x:v>
      </x:c>
      <x:c r="B53" s="64" t="str">
        <x:v>kineko</x:v>
      </x:c>
      <x:c r="C53" s="64" t="str">
        <x:v>kineko</x:v>
      </x:c>
      <x:c r="D53" s="64" t="str">
        <x:v>0</x:v>
      </x:c>
      <x:c r="E53" s="64" t="str">
        <x:v>किनेको</x:v>
      </x:c>
      <x:c r="F53" s="64" t="str">
        <x:v>ACCEPTABLE</x:v>
      </x:c>
    </x:row>
    <x:row r="54">
      <x:c r="A54" s="64" t="str">
        <x:v>R3A-F16AFA9E4AC3</x:v>
      </x:c>
      <x:c r="B54" s="64" t="str">
        <x:v>kineko</x:v>
      </x:c>
      <x:c r="C54" s="64" t="str">
        <x:v>kineko</x:v>
      </x:c>
      <x:c r="D54" s="64" t="str">
        <x:v>1</x:v>
      </x:c>
      <x:c r="E54" s="64" t="str">
        <x:v>kineko</x:v>
      </x:c>
      <x:c r="F54" s="64" t="str">
        <x:v>ACCEPTABLE</x:v>
      </x:c>
    </x:row>
    <x:row r="55">
      <x:c r="A55" s="64" t="str">
        <x:v>R3A-2573D516AAC5</x:v>
      </x:c>
      <x:c r="B55" s="64" t="str">
        <x:v>sunnu</x:v>
      </x:c>
      <x:c r="C55" s="64" t="str">
        <x:v>sunnu</x:v>
      </x:c>
      <x:c r="D55" s="64" t="str">
        <x:v>0</x:v>
      </x:c>
      <x:c r="E55" s="64" t="str">
        <x:v>sunnu</x:v>
      </x:c>
      <x:c r="F55" s="64" t="str">
        <x:v>ACCEPTABLE</x:v>
      </x:c>
    </x:row>
    <x:row r="56">
      <x:c r="A56" s="64" t="str">
        <x:v>R3A-2573D516AAC5</x:v>
      </x:c>
      <x:c r="B56" s="64" t="str">
        <x:v>sunnu</x:v>
      </x:c>
      <x:c r="C56" s="64" t="str">
        <x:v>sunnu</x:v>
      </x:c>
      <x:c r="D56" s="64" t="str">
        <x:v>1</x:v>
      </x:c>
      <x:c r="E56" s="64" t="str">
        <x:v>सुन्नु</x:v>
      </x:c>
      <x:c r="F56" s="64" t="str">
        <x:v>ACCEPTABLE</x:v>
      </x:c>
    </x:row>
    <x:row r="57">
      <x:c r="A57" s="64" t="str">
        <x:v>R3A-11C576A29373</x:v>
      </x:c>
      <x:c r="B57" s="64" t="str">
        <x:v>loss</x:v>
      </x:c>
      <x:c r="C57" s="64" t="str">
        <x:v>loss</x:v>
      </x:c>
      <x:c r="D57" s="64" t="str">
        <x:v>0</x:v>
      </x:c>
      <x:c r="E57" s="64" t="str">
        <x:v>लस</x:v>
      </x:c>
      <x:c r="F57" s="64" t="str">
        <x:v>ACCEPTABLE</x:v>
      </x:c>
    </x:row>
    <x:row r="58">
      <x:c r="A58" s="64" t="str">
        <x:v>R3A-11C576A29373</x:v>
      </x:c>
      <x:c r="B58" s="64" t="str">
        <x:v>loss</x:v>
      </x:c>
      <x:c r="C58" s="64" t="str">
        <x:v>loss</x:v>
      </x:c>
      <x:c r="D58" s="64" t="str">
        <x:v>1</x:v>
      </x:c>
      <x:c r="E58" s="64" t="str">
        <x:v>loss</x:v>
      </x:c>
      <x:c r="F58" s="64" t="str">
        <x:v>ACCEPTABLE</x:v>
      </x:c>
    </x:row>
    <x:row r="59">
      <x:c r="A59" s="64" t="str">
        <x:v>R3A-458970948EDF</x:v>
      </x:c>
      <x:c r="B59" s="64" t="str">
        <x:v>unit</x:v>
      </x:c>
      <x:c r="C59" s="64" t="str">
        <x:v>unit</x:v>
      </x:c>
      <x:c r="D59" s="64" t="str">
        <x:v>0</x:v>
      </x:c>
      <x:c r="E59" s="64" t="str">
        <x:v>इकाई</x:v>
      </x:c>
      <x:c r="F59" s="64" t="str">
        <x:v>ACCEPTABLE</x:v>
      </x:c>
    </x:row>
    <x:row r="60">
      <x:c r="A60" s="64" t="str">
        <x:v>R3A-458970948EDF</x:v>
      </x:c>
      <x:c r="B60" s="64" t="str">
        <x:v>unit</x:v>
      </x:c>
      <x:c r="C60" s="64" t="str">
        <x:v>unit</x:v>
      </x:c>
      <x:c r="D60" s="64" t="str">
        <x:v>1</x:v>
      </x:c>
      <x:c r="E60" s="64" t="str">
        <x:v>unit</x:v>
      </x:c>
      <x:c r="F60" s="64" t="str">
        <x:v>ACCEPTABLE</x:v>
      </x:c>
    </x:row>
    <x:row r="61">
      <x:c r="A61" s="64" t="str">
        <x:v>R3A-B4C60C073F8C</x:v>
      </x:c>
      <x:c r="B61" s="64" t="str">
        <x:v>supplier</x:v>
      </x:c>
      <x:c r="C61" s="64" t="str">
        <x:v>supplier</x:v>
      </x:c>
      <x:c r="D61" s="64" t="str">
        <x:v>0</x:v>
      </x:c>
      <x:c r="E61" s="64" t="str">
        <x:v>supplier</x:v>
      </x:c>
      <x:c r="F61" s="64" t="str">
        <x:v>ACCEPTABLE</x:v>
      </x:c>
    </x:row>
    <x:row r="62">
      <x:c r="A62" s="64" t="str">
        <x:v>R3A-B4C60C073F8C</x:v>
      </x:c>
      <x:c r="B62" s="64" t="str">
        <x:v>supplier</x:v>
      </x:c>
      <x:c r="C62" s="64" t="str">
        <x:v>supplier</x:v>
      </x:c>
      <x:c r="D62" s="64" t="str">
        <x:v>1</x:v>
      </x:c>
      <x:c r="E62" s="64" t="str">
        <x:v>सप्लायर</x:v>
      </x:c>
      <x:c r="F62" s="64" t="str">
        <x:v>ACCEPTABLE</x:v>
      </x:c>
    </x:row>
    <x:row r="63">
      <x:c r="A63" s="64" t="str">
        <x:v>R3A-CFE4B5AA9EC9</x:v>
      </x:c>
      <x:c r="B63" s="64" t="str">
        <x:v>aja</x:v>
      </x:c>
      <x:c r="C63" s="64" t="str">
        <x:v>aja</x:v>
      </x:c>
      <x:c r="D63" s="64" t="str">
        <x:v>0</x:v>
      </x:c>
      <x:c r="E63" s="64" t="str">
        <x:v>आज</x:v>
      </x:c>
      <x:c r="F63" s="64" t="str">
        <x:v>ACCEPTABLE</x:v>
      </x:c>
    </x:row>
    <x:row r="64">
      <x:c r="A64" s="64" t="str">
        <x:v>R3A-CFE4B5AA9EC9</x:v>
      </x:c>
      <x:c r="B64" s="64" t="str">
        <x:v>aja</x:v>
      </x:c>
      <x:c r="C64" s="64" t="str">
        <x:v>aja</x:v>
      </x:c>
      <x:c r="D64" s="64" t="str">
        <x:v>1</x:v>
      </x:c>
      <x:c r="E64" s="64" t="str">
        <x:v>aja</x:v>
      </x:c>
      <x:c r="F64" s="64" t="str">
        <x:v>ACCEPTABLE</x:v>
      </x:c>
    </x:row>
    <x:row r="65">
      <x:c r="A65" s="64" t="str">
        <x:v>R3A-8C7D6F3ED27B</x:v>
      </x:c>
      <x:c r="B65" s="64" t="str">
        <x:v>preeti</x:v>
      </x:c>
      <x:c r="C65" s="64" t="str">
        <x:v>preeti</x:v>
      </x:c>
      <x:c r="D65" s="64" t="str">
        <x:v>0</x:v>
      </x:c>
      <x:c r="E65" s="64" t="str">
        <x:v>preeti</x:v>
      </x:c>
      <x:c r="F65" s="64" t="str">
        <x:v>ACCEPTABLE</x:v>
      </x:c>
    </x:row>
    <x:row r="66">
      <x:c r="A66" s="64" t="str">
        <x:v>R3A-8C7D6F3ED27B</x:v>
      </x:c>
      <x:c r="B66" s="64" t="str">
        <x:v>preeti</x:v>
      </x:c>
      <x:c r="C66" s="64" t="str">
        <x:v>preeti</x:v>
      </x:c>
      <x:c r="D66" s="64" t="str">
        <x:v>1</x:v>
      </x:c>
      <x:c r="E66" s="64" t="str">
        <x:v>प्रीति</x:v>
      </x:c>
      <x:c r="F66" s="64" t="str">
        <x:v>ACCEPTABLE</x:v>
      </x:c>
    </x:row>
    <x:row r="67">
      <x:c r="A67" s="64" t="str">
        <x:v>R3A-DD00E9658A07</x:v>
      </x:c>
      <x:c r="B67" s="64" t="str">
        <x:v>garidim</x:v>
      </x:c>
      <x:c r="C67" s="64" t="str">
        <x:v>garidim</x:v>
      </x:c>
      <x:c r="D67" s="64" t="str">
        <x:v>0</x:v>
      </x:c>
      <x:c r="E67" s="64" t="str">
        <x:v>गरिदिम्</x:v>
      </x:c>
      <x:c r="F67" s="64" t="str">
        <x:v>ACCEPTABLE</x:v>
      </x:c>
    </x:row>
    <x:row r="68">
      <x:c r="A68" s="64" t="str">
        <x:v>R3A-DD00E9658A07</x:v>
      </x:c>
      <x:c r="B68" s="64" t="str">
        <x:v>garidim</x:v>
      </x:c>
      <x:c r="C68" s="64" t="str">
        <x:v>garidim</x:v>
      </x:c>
      <x:c r="D68" s="64" t="str">
        <x:v>1</x:v>
      </x:c>
      <x:c r="E68" s="64" t="str">
        <x:v>garidim</x:v>
      </x:c>
      <x:c r="F68" s="64" t="str">
        <x:v>ACCEPTABLE</x:v>
      </x:c>
    </x:row>
    <x:row r="69">
      <x:c r="A69" s="64" t="str">
        <x:v>R3A-19BD164EF09F</x:v>
      </x:c>
      <x:c r="B69" s="64" t="str">
        <x:v>ledger</x:v>
      </x:c>
      <x:c r="C69" s="64" t="str">
        <x:v>ledger</x:v>
      </x:c>
      <x:c r="D69" s="64" t="str">
        <x:v>0</x:v>
      </x:c>
      <x:c r="E69" s="64" t="str">
        <x:v>लेजर</x:v>
      </x:c>
      <x:c r="F69" s="64" t="str">
        <x:v>ACCEPTABLE</x:v>
      </x:c>
    </x:row>
    <x:row r="70">
      <x:c r="A70" s="64" t="str">
        <x:v>R3A-19BD164EF09F</x:v>
      </x:c>
      <x:c r="B70" s="64" t="str">
        <x:v>ledger</x:v>
      </x:c>
      <x:c r="C70" s="64" t="str">
        <x:v>ledger</x:v>
      </x:c>
      <x:c r="D70" s="64" t="str">
        <x:v>1</x:v>
      </x:c>
      <x:c r="E70" s="64" t="str">
        <x:v>ledger</x:v>
      </x:c>
      <x:c r="F70" s="64" t="str">
        <x:v>ACCEPTABLE</x:v>
      </x:c>
    </x:row>
    <x:row r="71">
      <x:c r="A71" s="64" t="str">
        <x:v>R3A-746D07D2BE40</x:v>
      </x:c>
      <x:c r="B71" s="64" t="str">
        <x:v>dekhau</x:v>
      </x:c>
      <x:c r="C71" s="64" t="str">
        <x:v>dekhau</x:v>
      </x:c>
      <x:c r="D71" s="64" t="str">
        <x:v>0</x:v>
      </x:c>
      <x:c r="E71" s="64" t="str">
        <x:v>देखाउ</x:v>
      </x:c>
      <x:c r="F71" s="64" t="str">
        <x:v>ACCEPTABLE</x:v>
      </x:c>
    </x:row>
    <x:row r="72">
      <x:c r="A72" s="64" t="str">
        <x:v>R3A-746D07D2BE40</x:v>
      </x:c>
      <x:c r="B72" s="64" t="str">
        <x:v>dekhau</x:v>
      </x:c>
      <x:c r="C72" s="64" t="str">
        <x:v>dekhau</x:v>
      </x:c>
      <x:c r="D72" s="64" t="str">
        <x:v>1</x:v>
      </x:c>
      <x:c r="E72" s="64" t="str">
        <x:v>dekhau</x:v>
      </x:c>
      <x:c r="F72" s="64" t="str">
        <x:v>ACCEPTABLE</x:v>
      </x:c>
    </x:row>
    <x:row r="73">
      <x:c r="A73" s="64" t="str">
        <x:v>R3A-2DC856D4D6FF</x:v>
      </x:c>
      <x:c r="B73" s="64" t="str">
        <x:v>xu</x:v>
      </x:c>
      <x:c r="C73" s="64" t="str">
        <x:v>xu</x:v>
      </x:c>
      <x:c r="D73" s="64" t="str">
        <x:v>0</x:v>
      </x:c>
      <x:c r="E73" s="64" t="str">
        <x:v>छु</x:v>
      </x:c>
      <x:c r="F73" s="64" t="str">
        <x:v>ACCEPTABLE</x:v>
      </x:c>
    </x:row>
    <x:row r="74">
      <x:c r="A74" s="64" t="str">
        <x:v>R3A-2DC856D4D6FF</x:v>
      </x:c>
      <x:c r="B74" s="64" t="str">
        <x:v>xu</x:v>
      </x:c>
      <x:c r="C74" s="64" t="str">
        <x:v>xu</x:v>
      </x:c>
      <x:c r="D74" s="64" t="str">
        <x:v>1</x:v>
      </x:c>
      <x:c r="E74" s="64" t="str">
        <x:v>xu</x:v>
      </x:c>
      <x:c r="F74" s="64" t="str">
        <x:v>ACCEPTABLE</x:v>
      </x:c>
    </x:row>
    <x:row r="75">
      <x:c r="A75" s="64" t="str">
        <x:v>R3A-1C07AF58CC39</x:v>
      </x:c>
      <x:c r="B75" s="64" t="str">
        <x:v>ram dai aayo</x:v>
      </x:c>
      <x:c r="C75" s="64" t="str">
        <x:v>ram</x:v>
      </x:c>
      <x:c r="D75" s="64" t="str">
        <x:v>0</x:v>
      </x:c>
      <x:c r="E75" s="64" t="str">
        <x:v>राम</x:v>
      </x:c>
      <x:c r="F75" s="64" t="str">
        <x:v>ACCEPTABLE</x:v>
      </x:c>
    </x:row>
    <x:row r="76">
      <x:c r="A76" s="64" t="str">
        <x:v>R3A-1C07AF58CC39</x:v>
      </x:c>
      <x:c r="B76" s="64" t="str">
        <x:v>ram dai aayo</x:v>
      </x:c>
      <x:c r="C76" s="64" t="str">
        <x:v>ram</x:v>
      </x:c>
      <x:c r="D76" s="64" t="str">
        <x:v>1</x:v>
      </x:c>
      <x:c r="E76" s="64" t="str">
        <x:v>ram</x:v>
      </x:c>
      <x:c r="F76" s="64" t="str">
        <x:v>ACCEPTABLE</x:v>
      </x:c>
    </x:row>
    <x:row r="77">
      <x:c r="A77" s="64" t="str">
        <x:v>R3A-0A1601A427F9</x:v>
      </x:c>
      <x:c r="B77" s="64" t="str">
        <x:v>znxg</x:v>
      </x:c>
      <x:c r="C77" s="64" t="str">
        <x:v>znxg</x:v>
      </x:c>
      <x:c r="D77" s="64" t="str">
        <x:v>0</x:v>
      </x:c>
      <x:c r="E77" s="64" t="str">
        <x:v>znxg</x:v>
      </x:c>
      <x:c r="F77" s="64" t="str">
        <x:v>UNACCEPTABLE</x:v>
      </x:c>
    </x:row>
    <x:row r="78">
      <x:c r="A78" s="64" t="str">
        <x:v>R3A-9DD5A68A1E47</x:v>
      </x:c>
      <x:c r="B78" s="64" t="str">
        <x:v>thana</x:v>
      </x:c>
      <x:c r="C78" s="64" t="str">
        <x:v>thana</x:v>
      </x:c>
      <x:c r="D78" s="64" t="str">
        <x:v>0</x:v>
      </x:c>
      <x:c r="E78" s="64" t="str">
        <x:v>thana</x:v>
      </x:c>
      <x:c r="F78" s="64" t="str">
        <x:v>ACCEPTABLE</x:v>
      </x:c>
    </x:row>
    <x:row r="79">
      <x:c r="A79" s="64" t="str">
        <x:v>R3A-9DD5A68A1E47</x:v>
      </x:c>
      <x:c r="B79" s="64" t="str">
        <x:v>thana</x:v>
      </x:c>
      <x:c r="C79" s="64" t="str">
        <x:v>thana</x:v>
      </x:c>
      <x:c r="D79" s="64" t="str">
        <x:v>1</x:v>
      </x:c>
      <x:c r="E79" s="64" t="str">
        <x:v>थाना</x:v>
      </x:c>
      <x:c r="F79" s="64" t="str">
        <x:v>ACCEPTABLE</x:v>
      </x:c>
    </x:row>
    <x:row r="80">
      <x:c r="A80" s="64" t="str">
        <x:v>R3A-87A3E123EEB2</x:v>
      </x:c>
      <x:c r="B80" s="64" t="str">
        <x:v>hari</x:v>
      </x:c>
      <x:c r="C80" s="64" t="str">
        <x:v>hari</x:v>
      </x:c>
      <x:c r="D80" s="64" t="str">
        <x:v>0</x:v>
      </x:c>
      <x:c r="E80" s="64" t="str">
        <x:v>हरि</x:v>
      </x:c>
      <x:c r="F80" s="64" t="str">
        <x:v>ACCEPTABLE</x:v>
      </x:c>
    </x:row>
    <x:row r="81">
      <x:c r="A81" s="64" t="str">
        <x:v>R3A-87A3E123EEB2</x:v>
      </x:c>
      <x:c r="B81" s="64" t="str">
        <x:v>hari</x:v>
      </x:c>
      <x:c r="C81" s="64" t="str">
        <x:v>hari</x:v>
      </x:c>
      <x:c r="D81" s="64" t="str">
        <x:v>1</x:v>
      </x:c>
      <x:c r="E81" s="64" t="str">
        <x:v>हृ</x:v>
      </x:c>
      <x:c r="F81" s="64" t="str">
        <x:v>UNACCEPTABLE</x:v>
      </x:c>
    </x:row>
    <x:row r="82">
      <x:c r="A82" s="64" t="str">
        <x:v>R3A-87A3E123EEB2</x:v>
      </x:c>
      <x:c r="B82" s="64" t="str">
        <x:v>hari</x:v>
      </x:c>
      <x:c r="C82" s="64" t="str">
        <x:v>hari</x:v>
      </x:c>
      <x:c r="D82" s="64" t="str">
        <x:v>2</x:v>
      </x:c>
      <x:c r="E82" s="64" t="str">
        <x:v>hari</x:v>
      </x:c>
      <x:c r="F82" s="64" t="str">
        <x:v>ACCEPTABLE</x:v>
      </x:c>
    </x:row>
    <x:row r="83">
      <x:c r="A83" s="64" t="str">
        <x:v>R3A-3D948BB91CB2</x:v>
      </x:c>
      <x:c r="B83" s="64" t="str">
        <x:v>commission</x:v>
      </x:c>
      <x:c r="C83" s="64" t="str">
        <x:v>commission</x:v>
      </x:c>
      <x:c r="D83" s="64" t="str">
        <x:v>0</x:v>
      </x:c>
      <x:c r="E83" s="64" t="str">
        <x:v>कमिसन</x:v>
      </x:c>
      <x:c r="F83" s="64" t="str">
        <x:v>ACCEPTABLE</x:v>
      </x:c>
    </x:row>
    <x:row r="84">
      <x:c r="A84" s="64" t="str">
        <x:v>R3A-3D948BB91CB2</x:v>
      </x:c>
      <x:c r="B84" s="64" t="str">
        <x:v>commission</x:v>
      </x:c>
      <x:c r="C84" s="64" t="str">
        <x:v>commission</x:v>
      </x:c>
      <x:c r="D84" s="64" t="str">
        <x:v>1</x:v>
      </x:c>
      <x:c r="E84" s="64" t="str">
        <x:v>commission</x:v>
      </x:c>
      <x:c r="F84" s="64" t="str">
        <x:v>ACCEPTABLE</x:v>
      </x:c>
    </x:row>
    <x:row r="85">
      <x:c r="A85" s="64" t="str">
        <x:v>R3A-0F7FBD8EB910</x:v>
      </x:c>
      <x:c r="B85" s="64" t="str">
        <x:v>party</x:v>
      </x:c>
      <x:c r="C85" s="64" t="str">
        <x:v>party</x:v>
      </x:c>
      <x:c r="D85" s="64" t="str">
        <x:v>0</x:v>
      </x:c>
      <x:c r="E85" s="64" t="str">
        <x:v>पार्टी</x:v>
      </x:c>
      <x:c r="F85" s="64" t="str">
        <x:v>ACCEPTABLE</x:v>
      </x:c>
    </x:row>
    <x:row r="86">
      <x:c r="A86" s="64" t="str">
        <x:v>R3A-0F7FBD8EB910</x:v>
      </x:c>
      <x:c r="B86" s="64" t="str">
        <x:v>party</x:v>
      </x:c>
      <x:c r="C86" s="64" t="str">
        <x:v>party</x:v>
      </x:c>
      <x:c r="D86" s="64" t="str">
        <x:v>1</x:v>
      </x:c>
      <x:c r="E86" s="64" t="str">
        <x:v>party</x:v>
      </x:c>
      <x:c r="F86" s="64" t="str">
        <x:v>ACCEPTABLE</x:v>
      </x:c>
    </x:row>
    <x:row r="87">
      <x:c r="A87" s="64" t="str">
        <x:v>R3A-4B43CD1650FC</x:v>
      </x:c>
      <x:c r="B87" s="64" t="str">
        <x:v>ghata</x:v>
      </x:c>
      <x:c r="C87" s="64" t="str">
        <x:v>ghata</x:v>
      </x:c>
      <x:c r="D87" s="64" t="str">
        <x:v>0</x:v>
      </x:c>
      <x:c r="E87" s="64" t="str">
        <x:v>ghata</x:v>
      </x:c>
      <x:c r="F87" s="64" t="str">
        <x:v>ACCEPTABLE</x:v>
      </x:c>
    </x:row>
    <x:row r="88">
      <x:c r="A88" s="64" t="str">
        <x:v>R3A-4B43CD1650FC</x:v>
      </x:c>
      <x:c r="B88" s="64" t="str">
        <x:v>ghata</x:v>
      </x:c>
      <x:c r="C88" s="64" t="str">
        <x:v>ghata</x:v>
      </x:c>
      <x:c r="D88" s="64" t="str">
        <x:v>1</x:v>
      </x:c>
      <x:c r="E88" s="64" t="str">
        <x:v>घाटा</x:v>
      </x:c>
      <x:c r="F88" s="64" t="str">
        <x:v>ACCEPTABLE</x:v>
      </x:c>
    </x:row>
    <x:row r="89">
      <x:c r="A89" s="64" t="str">
        <x:v>R3A-473762AA5C8F</x:v>
      </x:c>
      <x:c r="B89" s="64" t="str">
        <x:v>bholi</x:v>
      </x:c>
      <x:c r="C89" s="64" t="str">
        <x:v>bholi</x:v>
      </x:c>
      <x:c r="D89" s="64" t="str">
        <x:v>0</x:v>
      </x:c>
      <x:c r="E89" s="64" t="str">
        <x:v>भोलि</x:v>
      </x:c>
      <x:c r="F89" s="64" t="str">
        <x:v>ACCEPTABLE</x:v>
      </x:c>
    </x:row>
    <x:row r="90">
      <x:c r="A90" s="64" t="str">
        <x:v>R3A-473762AA5C8F</x:v>
      </x:c>
      <x:c r="B90" s="64" t="str">
        <x:v>bholi</x:v>
      </x:c>
      <x:c r="C90" s="64" t="str">
        <x:v>bholi</x:v>
      </x:c>
      <x:c r="D90" s="64" t="str">
        <x:v>1</x:v>
      </x:c>
      <x:c r="E90" s="64" t="str">
        <x:v>bholi</x:v>
      </x:c>
      <x:c r="F90" s="64" t="str">
        <x:v>ACCEPTABLE</x:v>
      </x:c>
    </x:row>
    <x:row r="91">
      <x:c r="A91" s="64" t="str">
        <x:v>R3A-91E0F15B74E7</x:v>
      </x:c>
      <x:c r="B91" s="64" t="str">
        <x:v>receipt</x:v>
      </x:c>
      <x:c r="C91" s="64" t="str">
        <x:v>receipt</x:v>
      </x:c>
      <x:c r="D91" s="64" t="str">
        <x:v>0</x:v>
      </x:c>
      <x:c r="E91" s="64" t="str">
        <x:v>रसिद</x:v>
      </x:c>
      <x:c r="F91" s="64" t="str">
        <x:v>ACCEPTABLE</x:v>
      </x:c>
    </x:row>
    <x:row r="92">
      <x:c r="A92" s="64" t="str">
        <x:v>R3A-91E0F15B74E7</x:v>
      </x:c>
      <x:c r="B92" s="64" t="str">
        <x:v>receipt</x:v>
      </x:c>
      <x:c r="C92" s="64" t="str">
        <x:v>receipt</x:v>
      </x:c>
      <x:c r="D92" s="64" t="str">
        <x:v>1</x:v>
      </x:c>
      <x:c r="E92" s="64" t="str">
        <x:v>receipt</x:v>
      </x:c>
      <x:c r="F92" s="64" t="str">
        <x:v>ACCEPTABLE</x:v>
      </x:c>
    </x:row>
    <x:row r="93">
      <x:c r="A93" s="64" t="str">
        <x:v>R3A-81E39CBCED53</x:v>
      </x:c>
      <x:c r="B93" s="64" t="str">
        <x:v>ok</x:v>
      </x:c>
      <x:c r="C93" s="64" t="str">
        <x:v>ok</x:v>
      </x:c>
      <x:c r="D93" s="64" t="str">
        <x:v>0</x:v>
      </x:c>
      <x:c r="E93" s="64" t="str">
        <x:v>ok</x:v>
      </x:c>
      <x:c r="F93" s="64" t="str">
        <x:v>ACCEPTABLE</x:v>
      </x:c>
    </x:row>
    <x:row r="94">
      <x:c r="A94" s="64" t="str">
        <x:v>R3A-D741A2C87671</x:v>
      </x:c>
      <x:c r="B94" s="64" t="str">
        <x:v>plan</x:v>
      </x:c>
      <x:c r="C94" s="64" t="str">
        <x:v>plan</x:v>
      </x:c>
      <x:c r="D94" s="64" t="str">
        <x:v>0</x:v>
      </x:c>
      <x:c r="E94" s="64" t="str">
        <x:v>plan</x:v>
      </x:c>
      <x:c r="F94" s="64" t="str">
        <x:v>ACCEPTABLE</x:v>
      </x:c>
    </x:row>
    <x:row r="95">
      <x:c r="A95" s="64" t="str">
        <x:v>R3A-D741A2C87671</x:v>
      </x:c>
      <x:c r="B95" s="64" t="str">
        <x:v>plan</x:v>
      </x:c>
      <x:c r="C95" s="64" t="str">
        <x:v>plan</x:v>
      </x:c>
      <x:c r="D95" s="64" t="str">
        <x:v>1</x:v>
      </x:c>
      <x:c r="E95" s="64" t="str">
        <x:v>प्लान</x:v>
      </x:c>
      <x:c r="F95" s="64" t="str">
        <x:v>ACCEPTABLE</x:v>
      </x:c>
    </x:row>
    <x:row r="96">
      <x:c r="A96" s="64" t="str">
        <x:v>R3A-AB46E3F8600E</x:v>
      </x:c>
      <x:c r="B96" s="64" t="str">
        <x:v>net</x:v>
      </x:c>
      <x:c r="C96" s="64" t="str">
        <x:v>net</x:v>
      </x:c>
      <x:c r="D96" s="64" t="str">
        <x:v>0</x:v>
      </x:c>
      <x:c r="E96" s="64" t="str">
        <x:v>net</x:v>
      </x:c>
      <x:c r="F96" s="64" t="str">
        <x:v>ACCEPTABLE</x:v>
      </x:c>
    </x:row>
    <x:row r="97">
      <x:c r="A97" s="64" t="str">
        <x:v>R3A-7874572285AD</x:v>
      </x:c>
      <x:c r="B97" s="64" t="str">
        <x:v>discount</x:v>
      </x:c>
      <x:c r="C97" s="64" t="str">
        <x:v>discount</x:v>
      </x:c>
      <x:c r="D97" s="64" t="str">
        <x:v>0</x:v>
      </x:c>
      <x:c r="E97" s="64" t="str">
        <x:v>डिस्काउन्ट</x:v>
      </x:c>
      <x:c r="F97" s="64" t="str">
        <x:v>ACCEPTABLE</x:v>
      </x:c>
    </x:row>
    <x:row r="98">
      <x:c r="A98" s="64" t="str">
        <x:v>R3A-7874572285AD</x:v>
      </x:c>
      <x:c r="B98" s="64" t="str">
        <x:v>discount</x:v>
      </x:c>
      <x:c r="C98" s="64" t="str">
        <x:v>discount</x:v>
      </x:c>
      <x:c r="D98" s="64" t="str">
        <x:v>1</x:v>
      </x:c>
      <x:c r="E98" s="64" t="str">
        <x:v>discount</x:v>
      </x:c>
      <x:c r="F98" s="64" t="str">
        <x:v>ACCEPTABLE</x:v>
      </x:c>
    </x:row>
    <x:row r="99">
      <x:c r="A99" s="64" t="str">
        <x:v>R3A-825BB747601C</x:v>
      </x:c>
      <x:c r="B99" s="64" t="str">
        <x:v>please</x:v>
      </x:c>
      <x:c r="C99" s="64" t="str">
        <x:v>please</x:v>
      </x:c>
      <x:c r="D99" s="64" t="str">
        <x:v>0</x:v>
      </x:c>
      <x:c r="E99" s="64" t="str">
        <x:v>please</x:v>
      </x:c>
      <x:c r="F99" s="64" t="str">
        <x:v>ACCEPTABLE</x:v>
      </x:c>
    </x:row>
    <x:row r="100">
      <x:c r="A100" s="64" t="str">
        <x:v>R3A-D41A31C71C46</x:v>
      </x:c>
      <x:c r="B100" s="64" t="str">
        <x:v>stock</x:v>
      </x:c>
      <x:c r="C100" s="64" t="str">
        <x:v>stock</x:v>
      </x:c>
      <x:c r="D100" s="64" t="str">
        <x:v>0</x:v>
      </x:c>
      <x:c r="E100" s="64" t="str">
        <x:v>stock</x:v>
      </x:c>
      <x:c r="F100" s="64" t="str">
        <x:v>ACCEPTABLE</x:v>
      </x:c>
    </x:row>
    <x:row r="101">
      <x:c r="A101" s="64" t="str">
        <x:v>R3A-D41A31C71C46</x:v>
      </x:c>
      <x:c r="B101" s="64" t="str">
        <x:v>stock</x:v>
      </x:c>
      <x:c r="C101" s="64" t="str">
        <x:v>stock</x:v>
      </x:c>
      <x:c r="D101" s="64" t="str">
        <x:v>1</x:v>
      </x:c>
      <x:c r="E101" s="64" t="str">
        <x:v>स्टक</x:v>
      </x:c>
      <x:c r="F101" s="64" t="str">
        <x:v>ACCEPTABLE</x:v>
      </x:c>
    </x:row>
    <x:row r="102">
      <x:c r="A102" s="64" t="str">
        <x:v>R3A-A547FA55FAA3</x:v>
      </x:c>
      <x:c r="B102" s="64" t="str">
        <x:v>kine</x:v>
      </x:c>
      <x:c r="C102" s="64" t="str">
        <x:v>kine</x:v>
      </x:c>
      <x:c r="D102" s="64" t="str">
        <x:v>0</x:v>
      </x:c>
      <x:c r="E102" s="64" t="str">
        <x:v>kine</x:v>
      </x:c>
      <x:c r="F102" s="64" t="str">
        <x:v>ACCEPTABLE</x:v>
      </x:c>
    </x:row>
    <x:row r="103">
      <x:c r="A103" s="64" t="str">
        <x:v>R3A-A547FA55FAA3</x:v>
      </x:c>
      <x:c r="B103" s="64" t="str">
        <x:v>kine</x:v>
      </x:c>
      <x:c r="C103" s="64" t="str">
        <x:v>kine</x:v>
      </x:c>
      <x:c r="D103" s="64" t="str">
        <x:v>1</x:v>
      </x:c>
      <x:c r="E103" s="64" t="str">
        <x:v>किने</x:v>
      </x:c>
      <x:c r="F103" s="64" t="str">
        <x:v>ACCEPTABLE</x:v>
      </x:c>
    </x:row>
    <x:row r="104">
      <x:c r="A104" s="64" t="str">
        <x:v>R3A-59A86236B8E1</x:v>
      </x:c>
      <x:c r="B104" s="64" t="str">
        <x:v>rajeev</x:v>
      </x:c>
      <x:c r="C104" s="64" t="str">
        <x:v>rajeev</x:v>
      </x:c>
      <x:c r="D104" s="64" t="str">
        <x:v>0</x:v>
      </x:c>
      <x:c r="E104" s="64" t="str">
        <x:v>rajeev</x:v>
      </x:c>
      <x:c r="F104" s="64" t="str">
        <x:v>ACCEPTABLE</x:v>
      </x:c>
    </x:row>
    <x:row r="105">
      <x:c r="A105" s="64" t="str">
        <x:v>R3A-59A86236B8E1</x:v>
      </x:c>
      <x:c r="B105" s="64" t="str">
        <x:v>rajeev</x:v>
      </x:c>
      <x:c r="C105" s="64" t="str">
        <x:v>rajeev</x:v>
      </x:c>
      <x:c r="D105" s="64" t="str">
        <x:v>1</x:v>
      </x:c>
      <x:c r="E105" s="64" t="str">
        <x:v>राजीव</x:v>
      </x:c>
      <x:c r="F105" s="64" t="str">
        <x:v>ACCEPTABLE</x:v>
      </x:c>
    </x:row>
    <x:row r="106">
      <x:c r="A106" s="64" t="str">
        <x:v>R3A-D7ABD644B593</x:v>
      </x:c>
      <x:c r="B106" s="64" t="str">
        <x:v>ram dai aayo</x:v>
      </x:c>
      <x:c r="C106" s="64" t="str">
        <x:v>ram</x:v>
      </x:c>
      <x:c r="D106" s="64" t="str">
        <x:v>0</x:v>
      </x:c>
      <x:c r="E106" s="64" t="str">
        <x:v>राम</x:v>
      </x:c>
      <x:c r="F106" s="64" t="str">
        <x:v>ACCEPTABLE</x:v>
      </x:c>
    </x:row>
    <x:row r="107">
      <x:c r="A107" s="64" t="str">
        <x:v>R3A-D7ABD644B593</x:v>
      </x:c>
      <x:c r="B107" s="64" t="str">
        <x:v>ram dai aayo</x:v>
      </x:c>
      <x:c r="C107" s="64" t="str">
        <x:v>ram</x:v>
      </x:c>
      <x:c r="D107" s="64" t="str">
        <x:v>1</x:v>
      </x:c>
      <x:c r="E107" s="64" t="str">
        <x:v>ram</x:v>
      </x:c>
      <x:c r="F107" s="64" t="str">
        <x:v>ACCEPTABLE</x:v>
      </x:c>
    </x:row>
    <x:row r="108">
      <x:c r="A108" s="64" t="str">
        <x:v>R3A-CBAC4A22C534</x:v>
      </x:c>
      <x:c r="B108" s="64" t="str">
        <x:v>ram dai aayo</x:v>
      </x:c>
      <x:c r="C108" s="64" t="str">
        <x:v>ram</x:v>
      </x:c>
      <x:c r="D108" s="64" t="str">
        <x:v>0</x:v>
      </x:c>
      <x:c r="E108" s="64" t="str">
        <x:v>ram</x:v>
      </x:c>
      <x:c r="F108" s="64" t="str">
        <x:v>ACCEPTABLE</x:v>
      </x:c>
    </x:row>
    <x:row r="109">
      <x:c r="A109" s="64" t="str">
        <x:v>R3A-CBAC4A22C534</x:v>
      </x:c>
      <x:c r="B109" s="64" t="str">
        <x:v>ram dai aayo</x:v>
      </x:c>
      <x:c r="C109" s="64" t="str">
        <x:v>ram</x:v>
      </x:c>
      <x:c r="D109" s="64" t="str">
        <x:v>1</x:v>
      </x:c>
      <x:c r="E109" s="64" t="str">
        <x:v>राम</x:v>
      </x:c>
      <x:c r="F109" s="64" t="str">
        <x:v>ACCEPTABLE</x:v>
      </x:c>
    </x:row>
    <x:row r="110">
      <x:c r="A110" s="64" t="str">
        <x:v>R3A-BD31D1068C43</x:v>
      </x:c>
      <x:c r="B110" s="64" t="str">
        <x:v>pcs</x:v>
      </x:c>
      <x:c r="C110" s="64" t="str">
        <x:v>pcs</x:v>
      </x:c>
      <x:c r="D110" s="64" t="str">
        <x:v>0</x:v>
      </x:c>
      <x:c r="E110" s="64" t="str">
        <x:v>pcs</x:v>
      </x:c>
      <x:c r="F110" s="64" t="str">
        <x:v>ACCEPTABLE</x:v>
      </x:c>
    </x:row>
    <x:row r="111">
      <x:c r="A111" s="64" t="str">
        <x:v>R3A-BD31D1068C43</x:v>
      </x:c>
      <x:c r="B111" s="64" t="str">
        <x:v>pcs</x:v>
      </x:c>
      <x:c r="C111" s="64" t="str">
        <x:v>pcs</x:v>
      </x:c>
      <x:c r="D111" s="64" t="str">
        <x:v>1</x:v>
      </x:c>
      <x:c r="E111" s="64" t="str">
        <x:v>वटा</x:v>
      </x:c>
      <x:c r="F111" s="64" t="str">
        <x:v>ACCEPTABLE</x:v>
      </x:c>
    </x:row>
    <x:row r="112">
      <x:c r="A112" s="64" t="str">
        <x:v>R3A-C79C78C6A996</x:v>
      </x:c>
      <x:c r="B112" s="64" t="str">
        <x:v>lai</x:v>
      </x:c>
      <x:c r="C112" s="64" t="str">
        <x:v>lai</x:v>
      </x:c>
      <x:c r="D112" s="64" t="str">
        <x:v>0</x:v>
      </x:c>
      <x:c r="E112" s="64" t="str">
        <x:v>लाई</x:v>
      </x:c>
      <x:c r="F112" s="64" t="str">
        <x:v>ACCEPTABLE</x:v>
      </x:c>
    </x:row>
    <x:row r="113">
      <x:c r="A113" s="64" t="str">
        <x:v>R3A-C79C78C6A996</x:v>
      </x:c>
      <x:c r="B113" s="64" t="str">
        <x:v>lai</x:v>
      </x:c>
      <x:c r="C113" s="64" t="str">
        <x:v>lai</x:v>
      </x:c>
      <x:c r="D113" s="64" t="str">
        <x:v>1</x:v>
      </x:c>
      <x:c r="E113" s="64" t="str">
        <x:v>lai</x:v>
      </x:c>
      <x:c r="F113" s="64" t="str">
        <x:v>ACCEPTABLE</x:v>
      </x:c>
    </x:row>
    <x:row r="114">
      <x:c r="A114" s="64" t="str">
        <x:v>R3A-F5CF1B72BF07</x:v>
      </x:c>
      <x:c r="B114" s="64" t="str">
        <x:v>blorp</x:v>
      </x:c>
      <x:c r="C114" s="64" t="str">
        <x:v>blorp</x:v>
      </x:c>
      <x:c r="D114" s="64" t="str">
        <x:v>0</x:v>
      </x:c>
      <x:c r="E114" s="64" t="str">
        <x:v>blorp</x:v>
      </x:c>
      <x:c r="F114" s="64" t="str">
        <x:v>UNACCEPTABLE</x:v>
      </x:c>
    </x:row>
    <x:row r="115">
      <x:c r="A115" s="64" t="str">
        <x:v>R3A-0179AF09253F</x:v>
      </x:c>
      <x:c r="B115" s="64" t="str">
        <x:v>qwerty</x:v>
      </x:c>
      <x:c r="C115" s="64" t="str">
        <x:v>qwerty</x:v>
      </x:c>
      <x:c r="D115" s="64" t="str">
        <x:v>0</x:v>
      </x:c>
      <x:c r="E115" s="64" t="str">
        <x:v>qwerty</x:v>
      </x:c>
      <x:c r="F115" s="64" t="str">
        <x:v>UNACCEPTABLE</x:v>
      </x:c>
    </x:row>
    <x:row r="116">
      <x:c r="A116" s="64" t="str">
        <x:v>R3A-35D8AB1646F4</x:v>
      </x:c>
      <x:c r="B116" s="64" t="str">
        <x:v>cash</x:v>
      </x:c>
      <x:c r="C116" s="64" t="str">
        <x:v>cash</x:v>
      </x:c>
      <x:c r="D116" s="64" t="str">
        <x:v>0</x:v>
      </x:c>
      <x:c r="E116" s="64" t="str">
        <x:v>क्यास</x:v>
      </x:c>
      <x:c r="F116" s="64" t="str">
        <x:v>ACCEPTABLE</x:v>
      </x:c>
    </x:row>
    <x:row r="117">
      <x:c r="A117" s="64" t="str">
        <x:v>R3A-35D8AB1646F4</x:v>
      </x:c>
      <x:c r="B117" s="64" t="str">
        <x:v>cash</x:v>
      </x:c>
      <x:c r="C117" s="64" t="str">
        <x:v>cash</x:v>
      </x:c>
      <x:c r="D117" s="64" t="str">
        <x:v>1</x:v>
      </x:c>
      <x:c r="E117" s="64" t="str">
        <x:v>cash</x:v>
      </x:c>
      <x:c r="F117" s="64" t="str">
        <x:v>ACCEPTABLE</x:v>
      </x:c>
    </x:row>
    <x:row r="118">
      <x:c r="A118" s="64" t="str">
        <x:v>R3A-9F9619436CA3</x:v>
      </x:c>
      <x:c r="B118" s="64" t="str">
        <x:v>credit</x:v>
      </x:c>
      <x:c r="C118" s="64" t="str">
        <x:v>credit</x:v>
      </x:c>
      <x:c r="D118" s="64" t="str">
        <x:v>0</x:v>
      </x:c>
      <x:c r="E118" s="64" t="str">
        <x:v>credit</x:v>
      </x:c>
      <x:c r="F118" s="64" t="str">
        <x:v>ACCEPTABLE</x:v>
      </x:c>
    </x:row>
    <x:row r="119">
      <x:c r="A119" s="64" t="str">
        <x:v>R3A-9F9619436CA3</x:v>
      </x:c>
      <x:c r="B119" s="64" t="str">
        <x:v>credit</x:v>
      </x:c>
      <x:c r="C119" s="64" t="str">
        <x:v>credit</x:v>
      </x:c>
      <x:c r="D119" s="64" t="str">
        <x:v>1</x:v>
      </x:c>
      <x:c r="E119" s="64" t="str">
        <x:v>क्रेडिट</x:v>
      </x:c>
      <x:c r="F119" s="64" t="str">
        <x:v>ACCEPTABLE</x:v>
      </x:c>
    </x:row>
    <x:row r="120">
      <x:c r="A120" s="64" t="str">
        <x:v>R3A-6A1AF337B21B</x:v>
      </x:c>
      <x:c r="B120" s="64" t="str">
        <x:v>opening</x:v>
      </x:c>
      <x:c r="C120" s="64" t="str">
        <x:v>opening</x:v>
      </x:c>
      <x:c r="D120" s="64" t="str">
        <x:v>0</x:v>
      </x:c>
      <x:c r="E120" s="64" t="str">
        <x:v>opening</x:v>
      </x:c>
      <x:c r="F120" s="64" t="str">
        <x:v>ACCEPTABLE</x:v>
      </x:c>
    </x:row>
    <x:row r="121">
      <x:c r="A121" s="64" t="str">
        <x:v>R3A-1788E7D5D0A1</x:v>
      </x:c>
      <x:c r="B121" s="64" t="str">
        <x:v>report</x:v>
      </x:c>
      <x:c r="C121" s="64" t="str">
        <x:v>report</x:v>
      </x:c>
      <x:c r="D121" s="64" t="str">
        <x:v>0</x:v>
      </x:c>
      <x:c r="E121" s="64" t="str">
        <x:v>report</x:v>
      </x:c>
      <x:c r="F121" s="64" t="str">
        <x:v>ACCEPTABLE</x:v>
      </x:c>
    </x:row>
    <x:row r="122">
      <x:c r="A122" s="64" t="str">
        <x:v>R3A-4F0FB37A553F</x:v>
      </x:c>
      <x:c r="B122" s="64" t="str">
        <x:v>rakhnu</x:v>
      </x:c>
      <x:c r="C122" s="64" t="str">
        <x:v>rakhnu</x:v>
      </x:c>
      <x:c r="D122" s="64" t="str">
        <x:v>0</x:v>
      </x:c>
      <x:c r="E122" s="64" t="str">
        <x:v>rakhnu</x:v>
      </x:c>
      <x:c r="F122" s="64" t="str">
        <x:v>ACCEPTABLE</x:v>
      </x:c>
    </x:row>
    <x:row r="123">
      <x:c r="A123" s="64" t="str">
        <x:v>R3A-4F0FB37A553F</x:v>
      </x:c>
      <x:c r="B123" s="64" t="str">
        <x:v>rakhnu</x:v>
      </x:c>
      <x:c r="C123" s="64" t="str">
        <x:v>rakhnu</x:v>
      </x:c>
      <x:c r="D123" s="64" t="str">
        <x:v>1</x:v>
      </x:c>
      <x:c r="E123" s="64" t="str">
        <x:v>राख्नु</x:v>
      </x:c>
      <x:c r="F123" s="64" t="str">
        <x:v>ACCEPTABLE</x:v>
      </x:c>
    </x:row>
    <x:row r="124">
      <x:c r="A124" s="64" t="str">
        <x:v>R3A-910CA16A8201</x:v>
      </x:c>
      <x:c r="B124" s="64" t="str">
        <x:v>voucher</x:v>
      </x:c>
      <x:c r="C124" s="64" t="str">
        <x:v>voucher</x:v>
      </x:c>
      <x:c r="D124" s="64" t="str">
        <x:v>0</x:v>
      </x:c>
      <x:c r="E124" s="64" t="str">
        <x:v>voucher</x:v>
      </x:c>
      <x:c r="F124" s="64" t="str">
        <x:v>ACCEPTABLE</x:v>
      </x:c>
    </x:row>
    <x:row r="125">
      <x:c r="A125" s="64" t="str">
        <x:v>R3A-910CA16A8201</x:v>
      </x:c>
      <x:c r="B125" s="64" t="str">
        <x:v>voucher</x:v>
      </x:c>
      <x:c r="C125" s="64" t="str">
        <x:v>voucher</x:v>
      </x:c>
      <x:c r="D125" s="64" t="str">
        <x:v>1</x:v>
      </x:c>
      <x:c r="E125" s="64" t="str">
        <x:v>भाउचर</x:v>
      </x:c>
      <x:c r="F125" s="64" t="str">
        <x:v>ACCEPTABLE</x:v>
      </x:c>
    </x:row>
    <x:row r="126">
      <x:c r="A126" s="64" t="str">
        <x:v>R3A-BB51DD6E9ED0</x:v>
      </x:c>
      <x:c r="B126" s="64" t="str">
        <x:v>susan</x:v>
      </x:c>
      <x:c r="C126" s="64" t="str">
        <x:v>susan</x:v>
      </x:c>
      <x:c r="D126" s="64" t="str">
        <x:v>0</x:v>
      </x:c>
      <x:c r="E126" s="64" t="str">
        <x:v>susan</x:v>
      </x:c>
      <x:c r="F126" s="64" t="str">
        <x:v>ACCEPTABLE</x:v>
      </x:c>
    </x:row>
    <x:row r="127">
      <x:c r="A127" s="64" t="str">
        <x:v>R3A-DB48C68438C8</x:v>
      </x:c>
      <x:c r="B127" s="64" t="str">
        <x:v>shyam</x:v>
      </x:c>
      <x:c r="C127" s="64" t="str">
        <x:v>shyam</x:v>
      </x:c>
      <x:c r="D127" s="64" t="str">
        <x:v>0</x:v>
      </x:c>
      <x:c r="E127" s="64" t="str">
        <x:v>shyam</x:v>
      </x:c>
      <x:c r="F127" s="64" t="str">
        <x:v>ACCEPTABLE</x:v>
      </x:c>
    </x:row>
    <x:row r="128">
      <x:c r="A128" s="64" t="str">
        <x:v>R3A-DB48C68438C8</x:v>
      </x:c>
      <x:c r="B128" s="64" t="str">
        <x:v>shyam</x:v>
      </x:c>
      <x:c r="C128" s="64" t="str">
        <x:v>shyam</x:v>
      </x:c>
      <x:c r="D128" s="64" t="str">
        <x:v>1</x:v>
      </x:c>
      <x:c r="E128" s="64" t="str">
        <x:v>शयम</x:v>
      </x:c>
      <x:c r="F128" s="64" t="str">
        <x:v>UNACCEPTABLE</x:v>
      </x:c>
    </x:row>
    <x:row r="129">
      <x:c r="A129" s="64" t="str">
        <x:v>R3A-DB48C68438C8</x:v>
      </x:c>
      <x:c r="B129" s="64" t="str">
        <x:v>shyam</x:v>
      </x:c>
      <x:c r="C129" s="64" t="str">
        <x:v>shyam</x:v>
      </x:c>
      <x:c r="D129" s="64" t="str">
        <x:v>2</x:v>
      </x:c>
      <x:c r="E129" s="64" t="str">
        <x:v>श्याम</x:v>
      </x:c>
      <x:c r="F129" s="64" t="str">
        <x:v>ACCEPTABLE</x:v>
      </x:c>
    </x:row>
    <x:row r="130">
      <x:c r="A130" s="64" t="str">
        <x:v>R3A-E466FA9B2BF3</x:v>
      </x:c>
      <x:c r="B130" s="64" t="str">
        <x:v>gross</x:v>
      </x:c>
      <x:c r="C130" s="64" t="str">
        <x:v>gross</x:v>
      </x:c>
      <x:c r="D130" s="64" t="str">
        <x:v>0</x:v>
      </x:c>
      <x:c r="E130" s="64" t="str">
        <x:v>ग्रस</x:v>
      </x:c>
      <x:c r="F130" s="64" t="str">
        <x:v>ACCEPTABLE</x:v>
      </x:c>
    </x:row>
    <x:row r="131">
      <x:c r="A131" s="64" t="str">
        <x:v>R3A-E466FA9B2BF3</x:v>
      </x:c>
      <x:c r="B131" s="64" t="str">
        <x:v>gross</x:v>
      </x:c>
      <x:c r="C131" s="64" t="str">
        <x:v>gross</x:v>
      </x:c>
      <x:c r="D131" s="64" t="str">
        <x:v>1</x:v>
      </x:c>
      <x:c r="E131" s="64" t="str">
        <x:v>gross</x:v>
      </x:c>
      <x:c r="F131" s="64" t="str">
        <x:v>ACCEPTABLE</x:v>
      </x:c>
    </x:row>
    <x:row r="132">
      <x:c r="A132" s="64" t="str">
        <x:v>R3A-66F68104288C</x:v>
      </x:c>
      <x:c r="B132" s="64" t="str">
        <x:v>xyzzy</x:v>
      </x:c>
      <x:c r="C132" s="64" t="str">
        <x:v>xyzzy</x:v>
      </x:c>
      <x:c r="D132" s="64" t="str">
        <x:v>0</x:v>
      </x:c>
      <x:c r="E132" s="64" t="str">
        <x:v>xyzzy</x:v>
      </x:c>
      <x:c r="F132" s="64" t="str">
        <x:v>UNACCEPTABLE</x:v>
      </x:c>
    </x:row>
    <x:row r="133">
      <x:c r="A133" s="64" t="str">
        <x:v>R3A-229898769D5B</x:v>
      </x:c>
      <x:c r="B133" s="64" t="str">
        <x:v>customer</x:v>
      </x:c>
      <x:c r="C133" s="64" t="str">
        <x:v>customer</x:v>
      </x:c>
      <x:c r="D133" s="64" t="str">
        <x:v>0</x:v>
      </x:c>
      <x:c r="E133" s="64" t="str">
        <x:v>customer</x:v>
      </x:c>
      <x:c r="F133" s="64" t="str">
        <x:v>ACCEPTABLE</x:v>
      </x:c>
    </x:row>
    <x:row r="134">
      <x:c r="A134" s="64" t="str">
        <x:v>R3A-710A7D0167DC</x:v>
      </x:c>
      <x:c r="B134" s="64" t="str">
        <x:v>dokaan</x:v>
      </x:c>
      <x:c r="C134" s="64" t="str">
        <x:v>dokaan</x:v>
      </x:c>
      <x:c r="D134" s="64" t="str">
        <x:v>0</x:v>
      </x:c>
      <x:c r="E134" s="64" t="str">
        <x:v>dokaan</x:v>
      </x:c>
      <x:c r="F134" s="64" t="str">
        <x:v>ACCEPTABLE</x:v>
      </x:c>
    </x:row>
    <x:row r="135">
      <x:c r="A135" s="64" t="str">
        <x:v>R3A-710A7D0167DC</x:v>
      </x:c>
      <x:c r="B135" s="64" t="str">
        <x:v>dokaan</x:v>
      </x:c>
      <x:c r="C135" s="64" t="str">
        <x:v>dokaan</x:v>
      </x:c>
      <x:c r="D135" s="64" t="str">
        <x:v>1</x:v>
      </x:c>
      <x:c r="E135" s="64" t="str">
        <x:v>दुकान</x:v>
      </x:c>
      <x:c r="F135" s="64" t="str">
        <x:v>ACCEPTABLE</x:v>
      </x:c>
    </x:row>
    <x:row r="136">
      <x:c r="A136" s="64" t="str">
        <x:v>R3A-1955993A8F69</x:v>
      </x:c>
      <x:c r="B136" s="64" t="str">
        <x:v>malai</x:v>
      </x:c>
      <x:c r="C136" s="64" t="str">
        <x:v>malai</x:v>
      </x:c>
      <x:c r="D136" s="64" t="str">
        <x:v>0</x:v>
      </x:c>
      <x:c r="E136" s="64" t="str">
        <x:v>malai</x:v>
      </x:c>
      <x:c r="F136" s="64" t="str">
        <x:v>ACCEPTABLE</x:v>
      </x:c>
    </x:row>
    <x:row r="137">
      <x:c r="A137" s="64" t="str">
        <x:v>R3A-1955993A8F69</x:v>
      </x:c>
      <x:c r="B137" s="64" t="str">
        <x:v>malai</x:v>
      </x:c>
      <x:c r="C137" s="64" t="str">
        <x:v>malai</x:v>
      </x:c>
      <x:c r="D137" s="64" t="str">
        <x:v>1</x:v>
      </x:c>
      <x:c r="E137" s="64" t="str">
        <x:v>मलाई</x:v>
      </x:c>
      <x:c r="F137" s="64" t="str">
        <x:v>ACCEPTABLE</x:v>
      </x:c>
    </x:row>
    <x:row r="138">
      <x:c r="A138" s="64" t="str">
        <x:v>R3A-81797ACEEE9A</x:v>
      </x:c>
      <x:c r="B138" s="64" t="str">
        <x:v>due</x:v>
      </x:c>
      <x:c r="C138" s="64" t="str">
        <x:v>due</x:v>
      </x:c>
      <x:c r="D138" s="64" t="str">
        <x:v>0</x:v>
      </x:c>
      <x:c r="E138" s="64" t="str">
        <x:v>due</x:v>
      </x:c>
      <x:c r="F138" s="64" t="str">
        <x:v>ACCEPTABLE</x:v>
      </x:c>
    </x:row>
    <x:row r="139">
      <x:c r="A139" s="64" t="str">
        <x:v>R3A-81D90B95625F</x:v>
      </x:c>
      <x:c r="B139" s="64" t="str">
        <x:v>bill</x:v>
      </x:c>
      <x:c r="C139" s="64" t="str">
        <x:v>bill</x:v>
      </x:c>
      <x:c r="D139" s="64" t="str">
        <x:v>0</x:v>
      </x:c>
      <x:c r="E139" s="64" t="str">
        <x:v>बिल</x:v>
      </x:c>
      <x:c r="F139" s="64" t="str">
        <x:v>ACCEPTABLE</x:v>
      </x:c>
    </x:row>
    <x:row r="140">
      <x:c r="A140" s="64" t="str">
        <x:v>R3A-81D90B95625F</x:v>
      </x:c>
      <x:c r="B140" s="64" t="str">
        <x:v>bill</x:v>
      </x:c>
      <x:c r="C140" s="64" t="str">
        <x:v>bill</x:v>
      </x:c>
      <x:c r="D140" s="64" t="str">
        <x:v>1</x:v>
      </x:c>
      <x:c r="E140" s="64" t="str">
        <x:v>बइलल</x:v>
      </x:c>
      <x:c r="F140" s="64" t="str">
        <x:v>UNACCEPTABLE</x:v>
      </x:c>
    </x:row>
    <x:row r="141">
      <x:c r="A141" s="64" t="str">
        <x:v>R3A-81D90B95625F</x:v>
      </x:c>
      <x:c r="B141" s="64" t="str">
        <x:v>bill</x:v>
      </x:c>
      <x:c r="C141" s="64" t="str">
        <x:v>bill</x:v>
      </x:c>
      <x:c r="D141" s="64" t="str">
        <x:v>2</x:v>
      </x:c>
      <x:c r="E141" s="64" t="str">
        <x:v>bill</x:v>
      </x:c>
      <x:c r="F141" s="64" t="str">
        <x:v>ACCEPTABLE</x:v>
      </x:c>
    </x:row>
    <x:row r="142">
      <x:c r="A142" s="64" t="str">
        <x:v>R3A-A22962BC478A</x:v>
      </x:c>
      <x:c r="B142" s="64" t="str">
        <x:v>ram dai aayo</x:v>
      </x:c>
      <x:c r="C142" s="64" t="str">
        <x:v>ram</x:v>
      </x:c>
      <x:c r="D142" s="64" t="str">
        <x:v>0</x:v>
      </x:c>
      <x:c r="E142" s="64" t="str">
        <x:v>ram</x:v>
      </x:c>
      <x:c r="F142" s="64" t="str">
        <x:v>ACCEPTABLE</x:v>
      </x:c>
    </x:row>
    <x:row r="143">
      <x:c r="A143" s="64" t="str">
        <x:v>R3A-A22962BC478A</x:v>
      </x:c>
      <x:c r="B143" s="64" t="str">
        <x:v>ram dai aayo</x:v>
      </x:c>
      <x:c r="C143" s="64" t="str">
        <x:v>ram</x:v>
      </x:c>
      <x:c r="D143" s="64" t="str">
        <x:v>1</x:v>
      </x:c>
      <x:c r="E143" s="64" t="str">
        <x:v>राम</x:v>
      </x:c>
      <x:c r="F143" s="64" t="str">
        <x:v>ACCEPTABLE</x:v>
      </x:c>
    </x:row>
    <x:row r="144">
      <x:c r="A144" s="64" t="str">
        <x:v>R3A-F4643880A9BC</x:v>
      </x:c>
      <x:c r="B144" s="64" t="str">
        <x:v>bank</x:v>
      </x:c>
      <x:c r="C144" s="64" t="str">
        <x:v>bank</x:v>
      </x:c>
      <x:c r="D144" s="64" t="str">
        <x:v>0</x:v>
      </x:c>
      <x:c r="E144" s="64" t="str">
        <x:v>बैंक</x:v>
      </x:c>
      <x:c r="F144" s="64" t="str">
        <x:v>ACCEPTABLE</x:v>
      </x:c>
    </x:row>
    <x:row r="145">
      <x:c r="A145" s="64" t="str">
        <x:v>R3A-F4643880A9BC</x:v>
      </x:c>
      <x:c r="B145" s="64" t="str">
        <x:v>bank</x:v>
      </x:c>
      <x:c r="C145" s="64" t="str">
        <x:v>bank</x:v>
      </x:c>
      <x:c r="D145" s="64" t="str">
        <x:v>1</x:v>
      </x:c>
      <x:c r="E145" s="64" t="str">
        <x:v>बैङ्क</x:v>
      </x:c>
      <x:c r="F145" s="64" t="str">
        <x:v>ACCEPTABLE</x:v>
      </x:c>
    </x:row>
    <x:row r="146">
      <x:c r="A146" s="64" t="str">
        <x:v>R3A-F4643880A9BC</x:v>
      </x:c>
      <x:c r="B146" s="64" t="str">
        <x:v>bank</x:v>
      </x:c>
      <x:c r="C146" s="64" t="str">
        <x:v>bank</x:v>
      </x:c>
      <x:c r="D146" s="64" t="str">
        <x:v>2</x:v>
      </x:c>
      <x:c r="E146" s="64" t="str">
        <x:v>bank</x:v>
      </x:c>
      <x:c r="F146" s="64" t="str">
        <x:v>ACCEPTABLE</x:v>
      </x:c>
    </x:row>
    <x:row r="147">
      <x:c r="A147" s="64" t="str">
        <x:v>R3A-DBE3D2111C87</x:v>
      </x:c>
      <x:c r="B147" s="64" t="str">
        <x:v>customer</x:v>
      </x:c>
      <x:c r="C147" s="64" t="str">
        <x:v>customer</x:v>
      </x:c>
      <x:c r="D147" s="64" t="str">
        <x:v>0</x:v>
      </x:c>
      <x:c r="E147" s="64" t="str">
        <x:v>कस्टमर</x:v>
      </x:c>
      <x:c r="F147" s="64" t="str">
        <x:v>ACCEPTABLE</x:v>
      </x:c>
    </x:row>
    <x:row r="148">
      <x:c r="A148" s="64" t="str">
        <x:v>R3A-DBE3D2111C87</x:v>
      </x:c>
      <x:c r="B148" s="64" t="str">
        <x:v>customer</x:v>
      </x:c>
      <x:c r="C148" s="64" t="str">
        <x:v>customer</x:v>
      </x:c>
      <x:c r="D148" s="64" t="str">
        <x:v>1</x:v>
      </x:c>
      <x:c r="E148" s="64" t="str">
        <x:v>customer</x:v>
      </x:c>
      <x:c r="F148" s="64" t="str">
        <x:v>ACCEPTABLE</x:v>
      </x:c>
    </x:row>
    <x:row r="149">
      <x:c r="A149" s="64" t="str">
        <x:v>R3A-49A02088DC63</x:v>
      </x:c>
      <x:c r="B149" s="64" t="str">
        <x:v>pokhara</x:v>
      </x:c>
      <x:c r="C149" s="64" t="str">
        <x:v>pokhara</x:v>
      </x:c>
      <x:c r="D149" s="64" t="str">
        <x:v>0</x:v>
      </x:c>
      <x:c r="E149" s="64" t="str">
        <x:v>pokhara</x:v>
      </x:c>
      <x:c r="F149" s="64" t="str">
        <x:v>ACCEPTABLE</x:v>
      </x:c>
    </x:row>
    <x:row r="150">
      <x:c r="A150" s="64" t="str">
        <x:v>R3A-49A02088DC63</x:v>
      </x:c>
      <x:c r="B150" s="64" t="str">
        <x:v>pokhara</x:v>
      </x:c>
      <x:c r="C150" s="64" t="str">
        <x:v>pokhara</x:v>
      </x:c>
      <x:c r="D150" s="64" t="str">
        <x:v>1</x:v>
      </x:c>
      <x:c r="E150" s="64" t="str">
        <x:v>पोखरा</x:v>
      </x:c>
      <x:c r="F150" s="64" t="str">
        <x:v>ACCEPTABLE</x:v>
      </x:c>
    </x:row>
    <x:row r="151">
      <x:c r="A151" s="64" t="str">
        <x:v>R3A-6001D63FAD3E</x:v>
      </x:c>
      <x:c r="B151" s="64" t="str">
        <x:v>sita</x:v>
      </x:c>
      <x:c r="C151" s="64" t="str">
        <x:v>sita</x:v>
      </x:c>
      <x:c r="D151" s="64" t="str">
        <x:v>0</x:v>
      </x:c>
      <x:c r="E151" s="64" t="str">
        <x:v>सइत</x:v>
      </x:c>
      <x:c r="F151" s="64" t="str">
        <x:v>UNACCEPTABLE</x:v>
      </x:c>
    </x:row>
    <x:row r="152">
      <x:c r="A152" s="64" t="str">
        <x:v>R3A-6001D63FAD3E</x:v>
      </x:c>
      <x:c r="B152" s="64" t="str">
        <x:v>sita</x:v>
      </x:c>
      <x:c r="C152" s="64" t="str">
        <x:v>sita</x:v>
      </x:c>
      <x:c r="D152" s="64" t="str">
        <x:v>1</x:v>
      </x:c>
      <x:c r="E152" s="64" t="str">
        <x:v>sita</x:v>
      </x:c>
      <x:c r="F152" s="64" t="str">
        <x:v>ACCEPTABLE</x:v>
      </x:c>
    </x:row>
    <x:row r="153">
      <x:c r="A153" s="64" t="str">
        <x:v>R3A-6001D63FAD3E</x:v>
      </x:c>
      <x:c r="B153" s="64" t="str">
        <x:v>sita</x:v>
      </x:c>
      <x:c r="C153" s="64" t="str">
        <x:v>sita</x:v>
      </x:c>
      <x:c r="D153" s="64" t="str">
        <x:v>2</x:v>
      </x:c>
      <x:c r="E153" s="64" t="str">
        <x:v>सीता</x:v>
      </x:c>
      <x:c r="F153" s="64" t="str">
        <x:v>ACCEPTABLE</x:v>
      </x:c>
    </x:row>
    <x:row r="154">
      <x:c r="A154" s="64" t="str">
        <x:v>R3A-309B3CEE3117</x:v>
      </x:c>
      <x:c r="B154" s="64" t="str">
        <x:v>qwerty</x:v>
      </x:c>
      <x:c r="C154" s="64" t="str">
        <x:v>qwerty</x:v>
      </x:c>
      <x:c r="D154" s="64" t="str">
        <x:v>0</x:v>
      </x:c>
      <x:c r="E154" s="64" t="str">
        <x:v>qwerty</x:v>
      </x:c>
      <x:c r="F154" s="64" t="str">
        <x:v>UNACCEPTABLE</x:v>
      </x:c>
    </x:row>
    <x:row r="155">
      <x:c r="A155" s="64" t="str">
        <x:v>R3A-3D44EBBA4A60</x:v>
      </x:c>
      <x:c r="B155" s="64" t="str">
        <x:v>tijori</x:v>
      </x:c>
      <x:c r="C155" s="64" t="str">
        <x:v>tijori</x:v>
      </x:c>
      <x:c r="D155" s="64" t="str">
        <x:v>0</x:v>
      </x:c>
      <x:c r="E155" s="64" t="str">
        <x:v>तिजोरी</x:v>
      </x:c>
      <x:c r="F155" s="64" t="str">
        <x:v>ACCEPTABLE</x:v>
      </x:c>
    </x:row>
    <x:row r="156">
      <x:c r="A156" s="64" t="str">
        <x:v>R3A-3D44EBBA4A60</x:v>
      </x:c>
      <x:c r="B156" s="64" t="str">
        <x:v>tijori</x:v>
      </x:c>
      <x:c r="C156" s="64" t="str">
        <x:v>tijori</x:v>
      </x:c>
      <x:c r="D156" s="64" t="str">
        <x:v>1</x:v>
      </x:c>
      <x:c r="E156" s="64" t="str">
        <x:v>tijori</x:v>
      </x:c>
      <x:c r="F156" s="64" t="str">
        <x:v>ACCEPTABLE</x:v>
      </x:c>
    </x:row>
    <x:row r="157">
      <x:c r="A157" s="64" t="str">
        <x:v>R3A-19AF235F1D07</x:v>
      </x:c>
      <x:c r="B157" s="64" t="str">
        <x:v>xaina</x:v>
      </x:c>
      <x:c r="C157" s="64" t="str">
        <x:v>xaina</x:v>
      </x:c>
      <x:c r="D157" s="64" t="str">
        <x:v>0</x:v>
      </x:c>
      <x:c r="E157" s="64" t="str">
        <x:v>छैन</x:v>
      </x:c>
      <x:c r="F157" s="64" t="str">
        <x:v>ACCEPTABLE</x:v>
      </x:c>
    </x:row>
    <x:row r="158">
      <x:c r="A158" s="64" t="str">
        <x:v>R3A-19AF235F1D07</x:v>
      </x:c>
      <x:c r="B158" s="64" t="str">
        <x:v>xaina</x:v>
      </x:c>
      <x:c r="C158" s="64" t="str">
        <x:v>xaina</x:v>
      </x:c>
      <x:c r="D158" s="64" t="str">
        <x:v>1</x:v>
      </x:c>
      <x:c r="E158" s="64" t="str">
        <x:v>xaina</x:v>
      </x:c>
      <x:c r="F158" s="64" t="str">
        <x:v>ACCEPTABLE</x:v>
      </x:c>
    </x:row>
    <x:row r="159">
      <x:c r="A159" s="64" t="str">
        <x:v>R3A-48A9DED65168</x:v>
      </x:c>
      <x:c r="B159" s="64" t="str">
        <x:v>anita</x:v>
      </x:c>
      <x:c r="C159" s="64" t="str">
        <x:v>anita</x:v>
      </x:c>
      <x:c r="D159" s="64" t="str">
        <x:v>0</x:v>
      </x:c>
      <x:c r="E159" s="64" t="str">
        <x:v>अनिता</x:v>
      </x:c>
      <x:c r="F159" s="64" t="str">
        <x:v>ACCEPTABLE</x:v>
      </x:c>
    </x:row>
    <x:row r="160">
      <x:c r="A160" s="64" t="str">
        <x:v>R3A-48A9DED65168</x:v>
      </x:c>
      <x:c r="B160" s="64" t="str">
        <x:v>anita</x:v>
      </x:c>
      <x:c r="C160" s="64" t="str">
        <x:v>anita</x:v>
      </x:c>
      <x:c r="D160" s="64" t="str">
        <x:v>1</x:v>
      </x:c>
      <x:c r="E160" s="64" t="str">
        <x:v>anita</x:v>
      </x:c>
      <x:c r="F160" s="64" t="str">
        <x:v>ACCEPTABLE</x:v>
      </x:c>
    </x:row>
    <x:row r="161">
      <x:c r="A161" s="64" t="str">
        <x:v>R3A-46B32A27444A</x:v>
      </x:c>
      <x:c r="B161" s="64" t="str">
        <x:v>profit</x:v>
      </x:c>
      <x:c r="C161" s="64" t="str">
        <x:v>profit</x:v>
      </x:c>
      <x:c r="D161" s="64" t="str">
        <x:v>0</x:v>
      </x:c>
      <x:c r="E161" s="64" t="str">
        <x:v>profit</x:v>
      </x:c>
      <x:c r="F161" s="64" t="str">
        <x:v>ACCEPTABLE</x:v>
      </x:c>
    </x:row>
    <x:row r="162">
      <x:c r="A162" s="64" t="str">
        <x:v>R3A-46B32A27444A</x:v>
      </x:c>
      <x:c r="B162" s="64" t="str">
        <x:v>profit</x:v>
      </x:c>
      <x:c r="C162" s="64" t="str">
        <x:v>profit</x:v>
      </x:c>
      <x:c r="D162" s="64" t="str">
        <x:v>1</x:v>
      </x:c>
      <x:c r="E162" s="64" t="str">
        <x:v>प्रोफिट</x:v>
      </x:c>
      <x:c r="F162" s="64" t="str">
        <x:v>ACCEPTABLE</x:v>
      </x:c>
    </x:row>
    <x:row r="163">
      <x:c r="A163" s="64" t="str">
        <x:v>R3A-A2E3A7DCE3D0</x:v>
      </x:c>
      <x:c r="B163" s="64" t="str">
        <x:v>rajeev</x:v>
      </x:c>
      <x:c r="C163" s="64" t="str">
        <x:v>rajeev</x:v>
      </x:c>
      <x:c r="D163" s="64" t="str">
        <x:v>0</x:v>
      </x:c>
      <x:c r="E163" s="64" t="str">
        <x:v>राजीव</x:v>
      </x:c>
      <x:c r="F163" s="64" t="str">
        <x:v>ACCEPTABLE</x:v>
      </x:c>
    </x:row>
    <x:row r="164">
      <x:c r="A164" s="64" t="str">
        <x:v>R3A-A2E3A7DCE3D0</x:v>
      </x:c>
      <x:c r="B164" s="64" t="str">
        <x:v>rajeev</x:v>
      </x:c>
      <x:c r="C164" s="64" t="str">
        <x:v>rajeev</x:v>
      </x:c>
      <x:c r="D164" s="64" t="str">
        <x:v>1</x:v>
      </x:c>
      <x:c r="E164" s="64" t="str">
        <x:v>rajeev</x:v>
      </x:c>
      <x:c r="F164" s="64" t="str">
        <x:v>ACCEPTABLE</x:v>
      </x:c>
    </x:row>
    <x:row r="165">
      <x:c r="A165" s="64" t="str">
        <x:v>R3A-DEBF4EE37F6D</x:v>
      </x:c>
      <x:c r="B165" s="64" t="str">
        <x:v>today</x:v>
      </x:c>
      <x:c r="C165" s="64" t="str">
        <x:v>today</x:v>
      </x:c>
      <x:c r="D165" s="64" t="str">
        <x:v>0</x:v>
      </x:c>
      <x:c r="E165" s="64" t="str">
        <x:v>today</x:v>
      </x:c>
      <x:c r="F165" s="64" t="str">
        <x:v>ACCEPTABLE</x:v>
      </x:c>
    </x:row>
    <x:row r="166">
      <x:c r="A166" s="64" t="str">
        <x:v>R3A-46CD1830FE9D</x:v>
      </x:c>
      <x:c r="B166" s="64" t="str">
        <x:v>closing</x:v>
      </x:c>
      <x:c r="C166" s="64" t="str">
        <x:v>closing</x:v>
      </x:c>
      <x:c r="D166" s="64" t="str">
        <x:v>0</x:v>
      </x:c>
      <x:c r="E166" s="64" t="str">
        <x:v>closing</x:v>
      </x:c>
      <x:c r="F166" s="64" t="str">
        <x:v>ACCEPTABLE</x:v>
      </x:c>
    </x:row>
    <x:row r="167">
      <x:c r="A167" s="64" t="str">
        <x:v>R3A-03590AA81D78</x:v>
      </x:c>
      <x:c r="B167" s="64" t="str">
        <x:v>closing</x:v>
      </x:c>
      <x:c r="C167" s="64" t="str">
        <x:v>closing</x:v>
      </x:c>
      <x:c r="D167" s="64" t="str">
        <x:v>0</x:v>
      </x:c>
      <x:c r="E167" s="64" t="str">
        <x:v>closing</x:v>
      </x:c>
      <x:c r="F167" s="64" t="str">
        <x:v>ACCEPTABLE</x:v>
      </x:c>
    </x:row>
    <x:row r="168">
      <x:c r="A168" s="64" t="str">
        <x:v>R3A-03590AA81D78</x:v>
      </x:c>
      <x:c r="B168" s="64" t="str">
        <x:v>closing</x:v>
      </x:c>
      <x:c r="C168" s="64" t="str">
        <x:v>closing</x:v>
      </x:c>
      <x:c r="D168" s="64" t="str">
        <x:v>1</x:v>
      </x:c>
      <x:c r="E168" s="64" t="str">
        <x:v>क्लोजिङ</x:v>
      </x:c>
      <x:c r="F168" s="64" t="str">
        <x:v>ACCEPTABLE</x:v>
      </x:c>
    </x:row>
    <x:row r="169">
      <x:c r="A169" s="64" t="str">
        <x:v>R3A-44D26D6634B0</x:v>
      </x:c>
      <x:c r="B169" s="64" t="str">
        <x:v>sales</x:v>
      </x:c>
      <x:c r="C169" s="64" t="str">
        <x:v>sales</x:v>
      </x:c>
      <x:c r="D169" s="64" t="str">
        <x:v>0</x:v>
      </x:c>
      <x:c r="E169" s="64" t="str">
        <x:v>सेल्स</x:v>
      </x:c>
      <x:c r="F169" s="64" t="str">
        <x:v>ACCEPTABLE</x:v>
      </x:c>
    </x:row>
    <x:row r="170">
      <x:c r="A170" s="64" t="str">
        <x:v>R3A-44D26D6634B0</x:v>
      </x:c>
      <x:c r="B170" s="64" t="str">
        <x:v>sales</x:v>
      </x:c>
      <x:c r="C170" s="64" t="str">
        <x:v>sales</x:v>
      </x:c>
      <x:c r="D170" s="64" t="str">
        <x:v>1</x:v>
      </x:c>
      <x:c r="E170" s="64" t="str">
        <x:v>sales</x:v>
      </x:c>
      <x:c r="F170" s="64" t="str">
        <x:v>ACCEPTABLE</x:v>
      </x:c>
    </x:row>
    <x:row r="171">
      <x:c r="A171" s="64" t="str">
        <x:v>R3A-E6C27DD9EB4E</x:v>
      </x:c>
      <x:c r="B171" s="64" t="str">
        <x:v>krishna</x:v>
      </x:c>
      <x:c r="C171" s="64" t="str">
        <x:v>krishna</x:v>
      </x:c>
      <x:c r="D171" s="64" t="str">
        <x:v>0</x:v>
      </x:c>
      <x:c r="E171" s="64" t="str">
        <x:v>कृष्ण</x:v>
      </x:c>
      <x:c r="F171" s="64" t="str">
        <x:v>ACCEPTABLE</x:v>
      </x:c>
    </x:row>
    <x:row r="172">
      <x:c r="A172" s="64" t="str">
        <x:v>R3A-E6C27DD9EB4E</x:v>
      </x:c>
      <x:c r="B172" s="64" t="str">
        <x:v>krishna</x:v>
      </x:c>
      <x:c r="C172" s="64" t="str">
        <x:v>krishna</x:v>
      </x:c>
      <x:c r="D172" s="64" t="str">
        <x:v>1</x:v>
      </x:c>
      <x:c r="E172" s="64" t="str">
        <x:v>krishna</x:v>
      </x:c>
      <x:c r="F172" s="64" t="str">
        <x:v>ACCEPTABLE</x:v>
      </x:c>
    </x:row>
    <x:row r="173">
      <x:c r="A173" s="64" t="str">
        <x:v>R3A-89B7DB4A1A4A</x:v>
      </x:c>
      <x:c r="B173" s="64" t="str">
        <x:v>for</x:v>
      </x:c>
      <x:c r="C173" s="64" t="str">
        <x:v>for</x:v>
      </x:c>
      <x:c r="D173" s="64" t="str">
        <x:v>0</x:v>
      </x:c>
      <x:c r="E173" s="64" t="str">
        <x:v>for</x:v>
      </x:c>
      <x:c r="F173" s="64" t="str">
        <x:v>ACCEPTABLE</x:v>
      </x:c>
    </x:row>
    <x:row r="174">
      <x:c r="A174" s="64" t="str">
        <x:v>R3A-52168F6474CC</x:v>
      </x:c>
      <x:c r="B174" s="64" t="str">
        <x:v>on</x:v>
      </x:c>
      <x:c r="C174" s="64" t="str">
        <x:v>on</x:v>
      </x:c>
      <x:c r="D174" s="64" t="str">
        <x:v>0</x:v>
      </x:c>
      <x:c r="E174" s="64" t="str">
        <x:v>on</x:v>
      </x:c>
      <x:c r="F174" s="64" t="str">
        <x:v>ACCEPTABLE</x:v>
      </x:c>
    </x:row>
    <x:row r="175">
      <x:c r="A175" s="64" t="str">
        <x:v>R3A-5F4340339B0A</x:v>
      </x:c>
      <x:c r="B175" s="64" t="str">
        <x:v>preeti</x:v>
      </x:c>
      <x:c r="C175" s="64" t="str">
        <x:v>preeti</x:v>
      </x:c>
      <x:c r="D175" s="64" t="str">
        <x:v>0</x:v>
      </x:c>
      <x:c r="E175" s="64" t="str">
        <x:v>preeti</x:v>
      </x:c>
      <x:c r="F175" s="64" t="str">
        <x:v>ACCEPTABLE</x:v>
      </x:c>
    </x:row>
    <x:row r="176">
      <x:c r="A176" s="64" t="str">
        <x:v>R3A-5F4340339B0A</x:v>
      </x:c>
      <x:c r="B176" s="64" t="str">
        <x:v>preeti</x:v>
      </x:c>
      <x:c r="C176" s="64" t="str">
        <x:v>preeti</x:v>
      </x:c>
      <x:c r="D176" s="64" t="str">
        <x:v>1</x:v>
      </x:c>
      <x:c r="E176" s="64" t="str">
        <x:v>प्रीति</x:v>
      </x:c>
      <x:c r="F176" s="64" t="str">
        <x:v>ACCEPTABLE</x:v>
      </x:c>
    </x:row>
    <x:row r="177">
      <x:c r="A177" s="64" t="str">
        <x:v>R3A-844DB568325C</x:v>
      </x:c>
      <x:c r="B177" s="64" t="str">
        <x:v>paani</x:v>
      </x:c>
      <x:c r="C177" s="64" t="str">
        <x:v>paani</x:v>
      </x:c>
      <x:c r="D177" s="64" t="str">
        <x:v>0</x:v>
      </x:c>
      <x:c r="E177" s="64" t="str">
        <x:v>पानी</x:v>
      </x:c>
      <x:c r="F177" s="64" t="str">
        <x:v>ACCEPTABLE</x:v>
      </x:c>
    </x:row>
    <x:row r="178">
      <x:c r="A178" s="64" t="str">
        <x:v>R3A-844DB568325C</x:v>
      </x:c>
      <x:c r="B178" s="64" t="str">
        <x:v>paani</x:v>
      </x:c>
      <x:c r="C178" s="64" t="str">
        <x:v>paani</x:v>
      </x:c>
      <x:c r="D178" s="64" t="str">
        <x:v>1</x:v>
      </x:c>
      <x:c r="E178" s="64" t="str">
        <x:v>paani</x:v>
      </x:c>
      <x:c r="F178" s="64" t="str">
        <x:v>ACCEPTABLE</x:v>
      </x:c>
    </x:row>
    <x:row r="179">
      <x:c r="A179" s="64" t="str">
        <x:v>R3A-61C16981C721</x:v>
      </x:c>
      <x:c r="B179" s="64" t="str">
        <x:v>thulo</x:v>
      </x:c>
      <x:c r="C179" s="64" t="str">
        <x:v>thulo</x:v>
      </x:c>
      <x:c r="D179" s="64" t="str">
        <x:v>0</x:v>
      </x:c>
      <x:c r="E179" s="64" t="str">
        <x:v>ठूलो</x:v>
      </x:c>
      <x:c r="F179" s="64" t="str">
        <x:v>ACCEPTABLE</x:v>
      </x:c>
    </x:row>
    <x:row r="180">
      <x:c r="A180" s="64" t="str">
        <x:v>R3A-61C16981C721</x:v>
      </x:c>
      <x:c r="B180" s="64" t="str">
        <x:v>thulo</x:v>
      </x:c>
      <x:c r="C180" s="64" t="str">
        <x:v>thulo</x:v>
      </x:c>
      <x:c r="D180" s="64" t="str">
        <x:v>1</x:v>
      </x:c>
      <x:c r="E180" s="64" t="str">
        <x:v>thulo</x:v>
      </x:c>
      <x:c r="F180" s="64" t="str">
        <x:v>ACCEPTABLE</x:v>
      </x:c>
    </x:row>
    <x:row r="181">
      <x:c r="A181" s="64" t="str">
        <x:v>R3A-1FCB214AAFF8</x:v>
      </x:c>
      <x:c r="B181" s="64" t="str">
        <x:v>was</x:v>
      </x:c>
      <x:c r="C181" s="64" t="str">
        <x:v>was</x:v>
      </x:c>
      <x:c r="D181" s="64" t="str">
        <x:v>0</x:v>
      </x:c>
      <x:c r="E181" s="64" t="str">
        <x:v>was</x:v>
      </x:c>
      <x:c r="F181" s="64" t="str">
        <x:v>ACCEPTABLE</x:v>
      </x:c>
    </x:row>
    <x:row r="182">
      <x:c r="A182" s="64" t="str">
        <x:v>R3A-9ED02F13AB81</x:v>
      </x:c>
      <x:c r="B182" s="64" t="str">
        <x:v>bank</x:v>
      </x:c>
      <x:c r="C182" s="64" t="str">
        <x:v>bank</x:v>
      </x:c>
      <x:c r="D182" s="64" t="str">
        <x:v>0</x:v>
      </x:c>
      <x:c r="E182" s="64" t="str">
        <x:v>bank</x:v>
      </x:c>
      <x:c r="F182" s="64" t="str">
        <x:v>ACCEPTABLE</x:v>
      </x:c>
    </x:row>
    <x:row r="183">
      <x:c r="A183" s="64" t="str">
        <x:v>R3A-B21EA865A670</x:v>
      </x:c>
      <x:c r="B183" s="64" t="str">
        <x:v>usko</x:v>
      </x:c>
      <x:c r="C183" s="64" t="str">
        <x:v>usko</x:v>
      </x:c>
      <x:c r="D183" s="64" t="str">
        <x:v>0</x:v>
      </x:c>
      <x:c r="E183" s="64" t="str">
        <x:v>usko</x:v>
      </x:c>
      <x:c r="F183" s="64" t="str">
        <x:v>ACCEPTABLE</x:v>
      </x:c>
    </x:row>
    <x:row r="184">
      <x:c r="A184" s="64" t="str">
        <x:v>R3A-B21EA865A670</x:v>
      </x:c>
      <x:c r="B184" s="64" t="str">
        <x:v>usko</x:v>
      </x:c>
      <x:c r="C184" s="64" t="str">
        <x:v>usko</x:v>
      </x:c>
      <x:c r="D184" s="64" t="str">
        <x:v>1</x:v>
      </x:c>
      <x:c r="E184" s="64" t="str">
        <x:v>उसको</x:v>
      </x:c>
      <x:c r="F184" s="64" t="str">
        <x:v>ACCEPTABLE</x:v>
      </x:c>
    </x:row>
    <x:row r="185">
      <x:c r="A185" s="64" t="str">
        <x:v>R3A-2777FD563D44</x:v>
      </x:c>
      <x:c r="B185" s="64" t="str">
        <x:v>xyzzy</x:v>
      </x:c>
      <x:c r="C185" s="64" t="str">
        <x:v>xyzzy</x:v>
      </x:c>
      <x:c r="D185" s="64" t="str">
        <x:v>0</x:v>
      </x:c>
      <x:c r="E185" s="64" t="str">
        <x:v>xyzzy</x:v>
      </x:c>
      <x:c r="F185" s="64" t="str">
        <x:v>UNACCEPTABLE</x:v>
      </x:c>
    </x:row>
    <x:row r="186">
      <x:c r="A186" s="64" t="str">
        <x:v>R3A-92AFC696170A</x:v>
      </x:c>
      <x:c r="B186" s="64" t="str">
        <x:v>gita</x:v>
      </x:c>
      <x:c r="C186" s="64" t="str">
        <x:v>gita</x:v>
      </x:c>
      <x:c r="D186" s="64" t="str">
        <x:v>0</x:v>
      </x:c>
      <x:c r="E186" s="64" t="str">
        <x:v>गइत</x:v>
      </x:c>
      <x:c r="F186" s="64" t="str">
        <x:v>UNACCEPTABLE</x:v>
      </x:c>
    </x:row>
    <x:row r="187">
      <x:c r="A187" s="64" t="str">
        <x:v>R3A-92AFC696170A</x:v>
      </x:c>
      <x:c r="B187" s="64" t="str">
        <x:v>gita</x:v>
      </x:c>
      <x:c r="C187" s="64" t="str">
        <x:v>gita</x:v>
      </x:c>
      <x:c r="D187" s="64" t="str">
        <x:v>1</x:v>
      </x:c>
      <x:c r="E187" s="64" t="str">
        <x:v>गीता</x:v>
      </x:c>
      <x:c r="F187" s="64" t="str">
        <x:v>ACCEPTABLE</x:v>
      </x:c>
    </x:row>
    <x:row r="188">
      <x:c r="A188" s="64" t="str">
        <x:v>R3A-92AFC696170A</x:v>
      </x:c>
      <x:c r="B188" s="64" t="str">
        <x:v>gita</x:v>
      </x:c>
      <x:c r="C188" s="64" t="str">
        <x:v>gita</x:v>
      </x:c>
      <x:c r="D188" s="64" t="str">
        <x:v>2</x:v>
      </x:c>
      <x:c r="E188" s="64" t="str">
        <x:v>gita</x:v>
      </x:c>
      <x:c r="F188" s="64" t="str">
        <x:v>ACCEPTABLE</x:v>
      </x:c>
    </x:row>
    <x:row r="189">
      <x:c r="A189" s="64" t="str">
        <x:v>R3A-88C773037682</x:v>
      </x:c>
      <x:c r="B189" s="64" t="str">
        <x:v>chaina</x:v>
      </x:c>
      <x:c r="C189" s="64" t="str">
        <x:v>chaina</x:v>
      </x:c>
      <x:c r="D189" s="64" t="str">
        <x:v>0</x:v>
      </x:c>
      <x:c r="E189" s="64" t="str">
        <x:v>chaina</x:v>
      </x:c>
      <x:c r="F189" s="64" t="str">
        <x:v>CANNOT_DECIDE</x:v>
      </x:c>
    </x:row>
    <x:row r="190">
      <x:c r="A190" s="64" t="str">
        <x:v>R3A-88C773037682</x:v>
      </x:c>
      <x:c r="B190" s="64" t="str">
        <x:v>chaina</x:v>
      </x:c>
      <x:c r="C190" s="64" t="str">
        <x:v>chaina</x:v>
      </x:c>
      <x:c r="D190" s="64" t="str">
        <x:v>1</x:v>
      </x:c>
      <x:c r="E190" s="64" t="str">
        <x:v>छैन</x:v>
      </x:c>
      <x:c r="F190" s="64" t="str">
        <x:v>CANNOT_DECIDE</x:v>
      </x:c>
    </x:row>
    <x:row r="191">
      <x:c r="A191" s="64" t="str">
        <x:v>R3A-02AB46A9C72F</x:v>
      </x:c>
      <x:c r="B191" s="64" t="str">
        <x:v>stock</x:v>
      </x:c>
      <x:c r="C191" s="64" t="str">
        <x:v>stock</x:v>
      </x:c>
      <x:c r="D191" s="64" t="str">
        <x:v>0</x:v>
      </x:c>
      <x:c r="E191" s="64" t="str">
        <x:v>stock</x:v>
      </x:c>
      <x:c r="F191" s="64" t="str">
        <x:v>ACCEPTABLE</x:v>
      </x:c>
    </x:row>
    <x:row r="192">
      <x:c r="A192" s="64" t="str">
        <x:v>R3A-57E415379DE6</x:v>
      </x:c>
      <x:c r="B192" s="64" t="str">
        <x:v>purchase</x:v>
      </x:c>
      <x:c r="C192" s="64" t="str">
        <x:v>purchase</x:v>
      </x:c>
      <x:c r="D192" s="64" t="str">
        <x:v>0</x:v>
      </x:c>
      <x:c r="E192" s="64" t="str">
        <x:v>पर्चेज</x:v>
      </x:c>
      <x:c r="F192" s="64" t="str">
        <x:v>ACCEPTABLE</x:v>
      </x:c>
    </x:row>
    <x:row r="193">
      <x:c r="A193" s="64" t="str">
        <x:v>R3A-57E415379DE6</x:v>
      </x:c>
      <x:c r="B193" s="64" t="str">
        <x:v>purchase</x:v>
      </x:c>
      <x:c r="C193" s="64" t="str">
        <x:v>purchase</x:v>
      </x:c>
      <x:c r="D193" s="64" t="str">
        <x:v>1</x:v>
      </x:c>
      <x:c r="E193" s="64" t="str">
        <x:v>purchase</x:v>
      </x:c>
      <x:c r="F193" s="64" t="str">
        <x:v>ACCEPTABLE</x:v>
      </x:c>
    </x:row>
    <x:row r="194">
      <x:c r="A194" s="64" t="str">
        <x:v>R3A-96D266DDD445</x:v>
      </x:c>
      <x:c r="B194" s="64" t="str">
        <x:v>in</x:v>
      </x:c>
      <x:c r="C194" s="64" t="str">
        <x:v>in</x:v>
      </x:c>
      <x:c r="D194" s="64" t="str">
        <x:v>0</x:v>
      </x:c>
      <x:c r="E194" s="64" t="str">
        <x:v>in</x:v>
      </x:c>
      <x:c r="F194" s="64" t="str">
        <x:v>ACCEPTABLE</x:v>
      </x:c>
    </x:row>
    <x:row r="195">
      <x:c r="A195" s="64" t="str">
        <x:v>R3A-EB0C046F2CA3</x:v>
      </x:c>
      <x:c r="B195" s="64" t="str">
        <x:v>krishna</x:v>
      </x:c>
      <x:c r="C195" s="64" t="str">
        <x:v>krishna</x:v>
      </x:c>
      <x:c r="D195" s="64" t="str">
        <x:v>0</x:v>
      </x:c>
      <x:c r="E195" s="64" t="str">
        <x:v>कृष्ण</x:v>
      </x:c>
      <x:c r="F195" s="64" t="str">
        <x:v>ACCEPTABLE</x:v>
      </x:c>
    </x:row>
    <x:row r="196">
      <x:c r="A196" s="64" t="str">
        <x:v>R3A-EB0C046F2CA3</x:v>
      </x:c>
      <x:c r="B196" s="64" t="str">
        <x:v>krishna</x:v>
      </x:c>
      <x:c r="C196" s="64" t="str">
        <x:v>krishna</x:v>
      </x:c>
      <x:c r="D196" s="64" t="str">
        <x:v>1</x:v>
      </x:c>
      <x:c r="E196" s="64" t="str">
        <x:v>krishna</x:v>
      </x:c>
      <x:c r="F196" s="64" t="str">
        <x:v>ACCEPTABLE</x:v>
      </x:c>
    </x:row>
    <x:row r="197">
      <x:c r="A197" s="64" t="str">
        <x:v>R3A-C632964AAC91</x:v>
      </x:c>
      <x:c r="B197" s="64" t="str">
        <x:v>john</x:v>
      </x:c>
      <x:c r="C197" s="64" t="str">
        <x:v>john</x:v>
      </x:c>
      <x:c r="D197" s="64" t="str">
        <x:v>0</x:v>
      </x:c>
      <x:c r="E197" s="64" t="str">
        <x:v>john</x:v>
      </x:c>
      <x:c r="F197" s="64" t="str">
        <x:v>ACCEPTABLE</x:v>
      </x:c>
    </x:row>
    <x:row r="198">
      <x:c r="A198" s="64" t="str">
        <x:v>R3A-1B5DC8515B6B</x:v>
      </x:c>
      <x:c r="B198" s="64" t="str">
        <x:v>byapar</x:v>
      </x:c>
      <x:c r="C198" s="64" t="str">
        <x:v>byapar</x:v>
      </x:c>
      <x:c r="D198" s="64" t="str">
        <x:v>0</x:v>
      </x:c>
      <x:c r="E198" s="64" t="str">
        <x:v>व्यापार</x:v>
      </x:c>
      <x:c r="F198" s="64" t="str">
        <x:v>ACCEPTABLE</x:v>
      </x:c>
    </x:row>
    <x:row r="199">
      <x:c r="A199" s="64" t="str">
        <x:v>R3A-1B5DC8515B6B</x:v>
      </x:c>
      <x:c r="B199" s="64" t="str">
        <x:v>byapar</x:v>
      </x:c>
      <x:c r="C199" s="64" t="str">
        <x:v>byapar</x:v>
      </x:c>
      <x:c r="D199" s="64" t="str">
        <x:v>1</x:v>
      </x:c>
      <x:c r="E199" s="64" t="str">
        <x:v>byapar</x:v>
      </x:c>
      <x:c r="F199" s="64" t="str">
        <x:v>ACCEPTABLE</x:v>
      </x:c>
    </x:row>
    <x:row r="200">
      <x:c r="A200" s="64" t="str">
        <x:v>R3A-3C51844C067F</x:v>
      </x:c>
      <x:c r="B200" s="64" t="str">
        <x:v>hajar</x:v>
      </x:c>
      <x:c r="C200" s="64" t="str">
        <x:v>hajar</x:v>
      </x:c>
      <x:c r="D200" s="64" t="str">
        <x:v>0</x:v>
      </x:c>
      <x:c r="E200" s="64" t="str">
        <x:v>हजार</x:v>
      </x:c>
      <x:c r="F200" s="64" t="str">
        <x:v>ACCEPTABLE</x:v>
      </x:c>
    </x:row>
    <x:row r="201">
      <x:c r="A201" s="64" t="str">
        <x:v>R3A-3C51844C067F</x:v>
      </x:c>
      <x:c r="B201" s="64" t="str">
        <x:v>hajar</x:v>
      </x:c>
      <x:c r="C201" s="64" t="str">
        <x:v>hajar</x:v>
      </x:c>
      <x:c r="D201" s="64" t="str">
        <x:v>1</x:v>
      </x:c>
      <x:c r="E201" s="64" t="str">
        <x:v>hajar</x:v>
      </x:c>
      <x:c r="F201" s="64" t="str">
        <x:v>ACCEPTABLE</x:v>
      </x:c>
    </x:row>
    <x:row r="202">
      <x:c r="A202" s="64" t="str">
        <x:v>R3A-8C4F698FCD49</x:v>
      </x:c>
      <x:c r="B202" s="64" t="str">
        <x:v>haru</x:v>
      </x:c>
      <x:c r="C202" s="64" t="str">
        <x:v>haru</x:v>
      </x:c>
      <x:c r="D202" s="64" t="str">
        <x:v>0</x:v>
      </x:c>
      <x:c r="E202" s="64" t="str">
        <x:v>हरू</x:v>
      </x:c>
      <x:c r="F202" s="64" t="str">
        <x:v>ACCEPTABLE</x:v>
      </x:c>
    </x:row>
    <x:row r="203">
      <x:c r="A203" s="64" t="str">
        <x:v>R3A-8C4F698FCD49</x:v>
      </x:c>
      <x:c r="B203" s="64" t="str">
        <x:v>haru</x:v>
      </x:c>
      <x:c r="C203" s="64" t="str">
        <x:v>haru</x:v>
      </x:c>
      <x:c r="D203" s="64" t="str">
        <x:v>1</x:v>
      </x:c>
      <x:c r="E203" s="64" t="str">
        <x:v>haru</x:v>
      </x:c>
      <x:c r="F203" s="64" t="str">
        <x:v>ACCEPTABLE</x:v>
      </x:c>
    </x:row>
    <x:row r="204">
      <x:c r="A204" s="64" t="str">
        <x:v>R3A-AC9E3AA78D9B</x:v>
      </x:c>
      <x:c r="B204" s="64" t="str">
        <x:v>nepal</x:v>
      </x:c>
      <x:c r="C204" s="64" t="str">
        <x:v>nepal</x:v>
      </x:c>
      <x:c r="D204" s="64" t="str">
        <x:v>0</x:v>
      </x:c>
      <x:c r="E204" s="64" t="str">
        <x:v>nepal</x:v>
      </x:c>
      <x:c r="F204" s="64" t="str">
        <x:v>ACCEPTABLE</x:v>
      </x:c>
    </x:row>
    <x:row r="205">
      <x:c r="A205" s="64" t="str">
        <x:v>R3A-AC9E3AA78D9B</x:v>
      </x:c>
      <x:c r="B205" s="64" t="str">
        <x:v>nepal</x:v>
      </x:c>
      <x:c r="C205" s="64" t="str">
        <x:v>nepal</x:v>
      </x:c>
      <x:c r="D205" s="64" t="str">
        <x:v>1</x:v>
      </x:c>
      <x:c r="E205" s="64" t="str">
        <x:v>नेपाल</x:v>
      </x:c>
      <x:c r="F205" s="64" t="str">
        <x:v>ACCEPTABLE</x:v>
      </x:c>
    </x:row>
    <x:row r="206">
      <x:c r="A206" s="64" t="str">
        <x:v>R3A-7F4E9C760597</x:v>
      </x:c>
      <x:c r="B206" s="64" t="str">
        <x:v>usle</x:v>
      </x:c>
      <x:c r="C206" s="64" t="str">
        <x:v>usle</x:v>
      </x:c>
      <x:c r="D206" s="64" t="str">
        <x:v>0</x:v>
      </x:c>
      <x:c r="E206" s="64" t="str">
        <x:v>usle</x:v>
      </x:c>
      <x:c r="F206" s="64" t="str">
        <x:v>ACCEPTABLE</x:v>
      </x:c>
    </x:row>
    <x:row r="207">
      <x:c r="A207" s="64" t="str">
        <x:v>R3A-7F4E9C760597</x:v>
      </x:c>
      <x:c r="B207" s="64" t="str">
        <x:v>usle</x:v>
      </x:c>
      <x:c r="C207" s="64" t="str">
        <x:v>usle</x:v>
      </x:c>
      <x:c r="D207" s="64" t="str">
        <x:v>1</x:v>
      </x:c>
      <x:c r="E207" s="64" t="str">
        <x:v>उसले</x:v>
      </x:c>
      <x:c r="F207" s="64" t="str">
        <x:v>ACCEPTABLE</x:v>
      </x:c>
    </x:row>
    <x:row r="208">
      <x:c r="A208" s="64" t="str">
        <x:v>R3A-A3337AE882EF</x:v>
      </x:c>
      <x:c r="B208" s="64" t="str">
        <x:v>bikriyat</x:v>
      </x:c>
      <x:c r="C208" s="64" t="str">
        <x:v>bikriyat</x:v>
      </x:c>
      <x:c r="D208" s="64" t="str">
        <x:v>0</x:v>
      </x:c>
      <x:c r="E208" s="64" t="str">
        <x:v>बिक्रय</x:v>
      </x:c>
      <x:c r="F208" s="64" t="str">
        <x:v>UNACCEPTABLE</x:v>
      </x:c>
    </x:row>
    <x:row r="209">
      <x:c r="A209" s="64" t="str">
        <x:v>R3A-A3337AE882EF</x:v>
      </x:c>
      <x:c r="B209" s="64" t="str">
        <x:v>bikriyat</x:v>
      </x:c>
      <x:c r="C209" s="64" t="str">
        <x:v>bikriyat</x:v>
      </x:c>
      <x:c r="D209" s="64" t="str">
        <x:v>1</x:v>
      </x:c>
      <x:c r="E209" s="64" t="str">
        <x:v>bikriyat</x:v>
      </x:c>
      <x:c r="F209" s="64" t="str">
        <x:v>UNACCEPTABLE</x:v>
      </x:c>
    </x:row>
    <x:row r="210">
      <x:c r="A210" s="64" t="str">
        <x:v>R3A-473E29CACC82</x:v>
      </x:c>
      <x:c r="B210" s="64" t="str">
        <x:v>party</x:v>
      </x:c>
      <x:c r="C210" s="64" t="str">
        <x:v>party</x:v>
      </x:c>
      <x:c r="D210" s="64" t="str">
        <x:v>0</x:v>
      </x:c>
      <x:c r="E210" s="64" t="str">
        <x:v>party</x:v>
      </x:c>
      <x:c r="F210" s="64" t="str">
        <x:v>ACCEPTABLE</x:v>
      </x:c>
    </x:row>
    <x:row r="211">
      <x:c r="A211" s="64" t="str">
        <x:v>R3A-CD170900DCD2</x:v>
      </x:c>
      <x:c r="B211" s="64" t="str">
        <x:v>my</x:v>
      </x:c>
      <x:c r="C211" s="64" t="str">
        <x:v>my</x:v>
      </x:c>
      <x:c r="D211" s="64" t="str">
        <x:v>0</x:v>
      </x:c>
      <x:c r="E211" s="64" t="str">
        <x:v>my</x:v>
      </x:c>
      <x:c r="F211" s="64" t="str">
        <x:v>ACCEPTABLE</x:v>
      </x:c>
    </x:row>
    <x:row r="212">
      <x:c r="A212" s="64" t="str">
        <x:v>R3A-DDB46BE83E59</x:v>
      </x:c>
      <x:c r="B212" s="64" t="str">
        <x:v>aaja</x:v>
      </x:c>
      <x:c r="C212" s="64" t="str">
        <x:v>aaja</x:v>
      </x:c>
      <x:c r="D212" s="64" t="str">
        <x:v>0</x:v>
      </x:c>
      <x:c r="E212" s="64" t="str">
        <x:v>आज</x:v>
      </x:c>
      <x:c r="F212" s="64" t="str">
        <x:v>ACCEPTABLE</x:v>
      </x:c>
    </x:row>
    <x:row r="213">
      <x:c r="A213" s="64" t="str">
        <x:v>R3A-DDB46BE83E59</x:v>
      </x:c>
      <x:c r="B213" s="64" t="str">
        <x:v>aaja</x:v>
      </x:c>
      <x:c r="C213" s="64" t="str">
        <x:v>aaja</x:v>
      </x:c>
      <x:c r="D213" s="64" t="str">
        <x:v>1</x:v>
      </x:c>
      <x:c r="E213" s="64" t="str">
        <x:v>aaja</x:v>
      </x:c>
      <x:c r="F213" s="64" t="str">
        <x:v>ACCEPTABLE</x:v>
      </x:c>
    </x:row>
    <x:row r="214">
      <x:c r="A214" s="64" t="str">
        <x:v>R3A-6E81B0F59A7C</x:v>
      </x:c>
      <x:c r="B214" s="64" t="str">
        <x:v>rupiya</x:v>
      </x:c>
      <x:c r="C214" s="64" t="str">
        <x:v>rupiya</x:v>
      </x:c>
      <x:c r="D214" s="64" t="str">
        <x:v>0</x:v>
      </x:c>
      <x:c r="E214" s="64" t="str">
        <x:v>रुपैयाँ</x:v>
      </x:c>
      <x:c r="F214" s="64" t="str">
        <x:v>ACCEPTABLE</x:v>
      </x:c>
    </x:row>
    <x:row r="215">
      <x:c r="A215" s="64" t="str">
        <x:v>R3A-6E81B0F59A7C</x:v>
      </x:c>
      <x:c r="B215" s="64" t="str">
        <x:v>rupiya</x:v>
      </x:c>
      <x:c r="C215" s="64" t="str">
        <x:v>rupiya</x:v>
      </x:c>
      <x:c r="D215" s="64" t="str">
        <x:v>1</x:v>
      </x:c>
      <x:c r="E215" s="64" t="str">
        <x:v>rupiya</x:v>
      </x:c>
      <x:c r="F215" s="64" t="str">
        <x:v>ACCEPTABLE</x:v>
      </x:c>
    </x:row>
    <x:row r="216">
      <x:c r="A216" s="64" t="str">
        <x:v>R3A-E11303FC4AF9</x:v>
      </x:c>
      <x:c r="B216" s="64" t="str">
        <x:v>yes</x:v>
      </x:c>
      <x:c r="C216" s="64" t="str">
        <x:v>yes</x:v>
      </x:c>
      <x:c r="D216" s="64" t="str">
        <x:v>0</x:v>
      </x:c>
      <x:c r="E216" s="64" t="str">
        <x:v>yes</x:v>
      </x:c>
      <x:c r="F216" s="64" t="str">
        <x:v>ACCEPTABLE</x:v>
      </x:c>
    </x:row>
    <x:row r="217">
      <x:c r="A217" s="64" t="str">
        <x:v>R3A-A86B407317B4</x:v>
      </x:c>
      <x:c r="B217" s="64" t="str">
        <x:v>ram dai aayo</x:v>
      </x:c>
      <x:c r="C217" s="64" t="str">
        <x:v>ram</x:v>
      </x:c>
      <x:c r="D217" s="64" t="str">
        <x:v>0</x:v>
      </x:c>
      <x:c r="E217" s="64" t="str">
        <x:v>ram</x:v>
      </x:c>
      <x:c r="F217" s="64" t="str">
        <x:v>ACCEPTABLE</x:v>
      </x:c>
    </x:row>
    <x:row r="218">
      <x:c r="A218" s="64" t="str">
        <x:v>R3A-A86B407317B4</x:v>
      </x:c>
      <x:c r="B218" s="64" t="str">
        <x:v>ram dai aayo</x:v>
      </x:c>
      <x:c r="C218" s="64" t="str">
        <x:v>ram</x:v>
      </x:c>
      <x:c r="D218" s="64" t="str">
        <x:v>1</x:v>
      </x:c>
      <x:c r="E218" s="64" t="str">
        <x:v>राम</x:v>
      </x:c>
      <x:c r="F218" s="64" t="str">
        <x:v>ACCEPTABLE</x:v>
      </x:c>
    </x:row>
    <x:row r="219">
      <x:c r="A219" s="64" t="str">
        <x:v>R3A-69A9687F4AF6</x:v>
      </x:c>
      <x:c r="B219" s="64" t="str">
        <x:v>jabaj</x:v>
      </x:c>
      <x:c r="C219" s="64" t="str">
        <x:v>jabaj</x:v>
      </x:c>
      <x:c r="D219" s="64" t="str">
        <x:v>0</x:v>
      </x:c>
      <x:c r="E219" s="64" t="str">
        <x:v>jabaj</x:v>
      </x:c>
      <x:c r="F219" s="64" t="str">
        <x:v>ACCEPTABLE</x:v>
      </x:c>
    </x:row>
    <x:row r="220">
      <x:c r="A220" s="64" t="str">
        <x:v>R3A-69A9687F4AF6</x:v>
      </x:c>
      <x:c r="B220" s="64" t="str">
        <x:v>jabaj</x:v>
      </x:c>
      <x:c r="C220" s="64" t="str">
        <x:v>jabaj</x:v>
      </x:c>
      <x:c r="D220" s="64" t="str">
        <x:v>1</x:v>
      </x:c>
      <x:c r="E220" s="64" t="str">
        <x:v>जबाफ</x:v>
      </x:c>
      <x:c r="F220" s="64" t="str">
        <x:v>UNACCEPTABLE</x:v>
      </x:c>
    </x:row>
    <x:row r="221">
      <x:c r="A221" s="64" t="str">
        <x:v>R3A-F1423F7ECCBC</x:v>
      </x:c>
      <x:c r="B221" s="64" t="str">
        <x:v>net</x:v>
      </x:c>
      <x:c r="C221" s="64" t="str">
        <x:v>net</x:v>
      </x:c>
      <x:c r="D221" s="64" t="str">
        <x:v>0</x:v>
      </x:c>
      <x:c r="E221" s="64" t="str">
        <x:v>नएत</x:v>
      </x:c>
      <x:c r="F221" s="64" t="str">
        <x:v>UNACCEPTABLE</x:v>
      </x:c>
    </x:row>
    <x:row r="222">
      <x:c r="A222" s="64" t="str">
        <x:v>R3A-F1423F7ECCBC</x:v>
      </x:c>
      <x:c r="B222" s="64" t="str">
        <x:v>net</x:v>
      </x:c>
      <x:c r="C222" s="64" t="str">
        <x:v>net</x:v>
      </x:c>
      <x:c r="D222" s="64" t="str">
        <x:v>1</x:v>
      </x:c>
      <x:c r="E222" s="64" t="str">
        <x:v>नएट</x:v>
      </x:c>
      <x:c r="F222" s="64" t="str">
        <x:v>UNACCEPTABLE</x:v>
      </x:c>
    </x:row>
    <x:row r="223">
      <x:c r="A223" s="64" t="str">
        <x:v>R3A-F1423F7ECCBC</x:v>
      </x:c>
      <x:c r="B223" s="64" t="str">
        <x:v>net</x:v>
      </x:c>
      <x:c r="C223" s="64" t="str">
        <x:v>net</x:v>
      </x:c>
      <x:c r="D223" s="64" t="str">
        <x:v>2</x:v>
      </x:c>
      <x:c r="E223" s="64" t="str">
        <x:v>net</x:v>
      </x:c>
      <x:c r="F223" s="64" t="str">
        <x:v>ACCEPTABLE</x:v>
      </x:c>
    </x:row>
    <x:row r="224">
      <x:c r="A224" s="64" t="str">
        <x:v>R3A-F1423F7ECCBC</x:v>
      </x:c>
      <x:c r="B224" s="64" t="str">
        <x:v>net</x:v>
      </x:c>
      <x:c r="C224" s="64" t="str">
        <x:v>net</x:v>
      </x:c>
      <x:c r="D224" s="64" t="str">
        <x:v>3</x:v>
      </x:c>
      <x:c r="E224" s="64" t="str">
        <x:v>नेट</x:v>
      </x:c>
      <x:c r="F224" s="64" t="str">
        <x:v>ACCEPTABLE</x:v>
      </x:c>
    </x:row>
    <x:row r="225">
      <x:c r="A225" s="64" t="str">
        <x:v>R3A-91DE04624709</x:v>
      </x:c>
      <x:c r="B225" s="64" t="str">
        <x:v>you</x:v>
      </x:c>
      <x:c r="C225" s="64" t="str">
        <x:v>you</x:v>
      </x:c>
      <x:c r="D225" s="64" t="str">
        <x:v>0</x:v>
      </x:c>
      <x:c r="E225" s="64" t="str">
        <x:v>you</x:v>
      </x:c>
      <x:c r="F225" s="64" t="str">
        <x:v>ACCEPTABLE</x:v>
      </x:c>
    </x:row>
    <x:row r="226">
      <x:c r="A226" s="64" t="str">
        <x:v>R3A-ACB9FB792070</x:v>
      </x:c>
      <x:c r="B226" s="64" t="str">
        <x:v>sita</x:v>
      </x:c>
      <x:c r="C226" s="64" t="str">
        <x:v>sita</x:v>
      </x:c>
      <x:c r="D226" s="64" t="str">
        <x:v>0</x:v>
      </x:c>
      <x:c r="E226" s="64" t="str">
        <x:v>sita</x:v>
      </x:c>
      <x:c r="F226" s="64" t="str">
        <x:v>ACCEPTABLE</x:v>
      </x:c>
    </x:row>
    <x:row r="227">
      <x:c r="A227" s="64" t="str">
        <x:v>R3A-ACB9FB792070</x:v>
      </x:c>
      <x:c r="B227" s="64" t="str">
        <x:v>sita</x:v>
      </x:c>
      <x:c r="C227" s="64" t="str">
        <x:v>sita</x:v>
      </x:c>
      <x:c r="D227" s="64" t="str">
        <x:v>1</x:v>
      </x:c>
      <x:c r="E227" s="64" t="str">
        <x:v>सीता</x:v>
      </x:c>
      <x:c r="F227" s="64" t="str">
        <x:v>ACCEPTABLE</x:v>
      </x:c>
    </x:row>
    <x:row r="228">
      <x:c r="A228" s="64" t="str">
        <x:v>R3A-ACB9FB792070</x:v>
      </x:c>
      <x:c r="B228" s="64" t="str">
        <x:v>sita</x:v>
      </x:c>
      <x:c r="C228" s="64" t="str">
        <x:v>sita</x:v>
      </x:c>
      <x:c r="D228" s="64" t="str">
        <x:v>2</x:v>
      </x:c>
      <x:c r="E228" s="64" t="str">
        <x:v>सइत</x:v>
      </x:c>
      <x:c r="F228" s="64" t="str">
        <x:v>UNACCEPTABLE</x:v>
      </x:c>
    </x:row>
    <x:row r="229">
      <x:c r="A229" s="64" t="str">
        <x:v>R3A-626435F340E3</x:v>
      </x:c>
      <x:c r="B229" s="64" t="str">
        <x:v>znxg</x:v>
      </x:c>
      <x:c r="C229" s="64" t="str">
        <x:v>znxg</x:v>
      </x:c>
      <x:c r="D229" s="64" t="str">
        <x:v>0</x:v>
      </x:c>
      <x:c r="E229" s="64" t="str">
        <x:v>znxg</x:v>
      </x:c>
      <x:c r="F229" s="64" t="str">
        <x:v>UNACCEPTABLE</x:v>
      </x:c>
    </x:row>
    <x:row r="230">
      <x:c r="A230" s="64" t="str">
        <x:v>R3A-85EA52AECC70</x:v>
      </x:c>
      <x:c r="B230" s="64" t="str">
        <x:v>opening</x:v>
      </x:c>
      <x:c r="C230" s="64" t="str">
        <x:v>opening</x:v>
      </x:c>
      <x:c r="D230" s="64" t="str">
        <x:v>0</x:v>
      </x:c>
      <x:c r="E230" s="64" t="str">
        <x:v>opening</x:v>
      </x:c>
      <x:c r="F230" s="64" t="str">
        <x:v>ACCEPTABLE</x:v>
      </x:c>
    </x:row>
    <x:row r="231">
      <x:c r="A231" s="64" t="str">
        <x:v>R3A-85EA52AECC70</x:v>
      </x:c>
      <x:c r="B231" s="64" t="str">
        <x:v>opening</x:v>
      </x:c>
      <x:c r="C231" s="64" t="str">
        <x:v>opening</x:v>
      </x:c>
      <x:c r="D231" s="64" t="str">
        <x:v>1</x:v>
      </x:c>
      <x:c r="E231" s="64" t="str">
        <x:v>ओपनिङ</x:v>
      </x:c>
      <x:c r="F231" s="64" t="str">
        <x:v>ACCEPTABLE</x:v>
      </x:c>
    </x:row>
    <x:row r="232">
      <x:c r="A232" s="64" t="str">
        <x:v>R3A-ABF06A06C71E</x:v>
      </x:c>
      <x:c r="B232" s="64" t="str">
        <x:v>hari</x:v>
      </x:c>
      <x:c r="C232" s="64" t="str">
        <x:v>hari</x:v>
      </x:c>
      <x:c r="D232" s="64" t="str">
        <x:v>0</x:v>
      </x:c>
      <x:c r="E232" s="64" t="str">
        <x:v>hari</x:v>
      </x:c>
      <x:c r="F232" s="64" t="str">
        <x:v>ACCEPTABLE</x:v>
      </x:c>
    </x:row>
    <x:row r="233">
      <x:c r="A233" s="64" t="str">
        <x:v>R3A-ABF06A06C71E</x:v>
      </x:c>
      <x:c r="B233" s="64" t="str">
        <x:v>hari</x:v>
      </x:c>
      <x:c r="C233" s="64" t="str">
        <x:v>hari</x:v>
      </x:c>
      <x:c r="D233" s="64" t="str">
        <x:v>1</x:v>
      </x:c>
      <x:c r="E233" s="64" t="str">
        <x:v>हृ</x:v>
      </x:c>
      <x:c r="F233" s="64" t="str">
        <x:v>UNACCEPTABLE</x:v>
      </x:c>
    </x:row>
    <x:row r="234">
      <x:c r="A234" s="64" t="str">
        <x:v>R3A-ABF06A06C71E</x:v>
      </x:c>
      <x:c r="B234" s="64" t="str">
        <x:v>hari</x:v>
      </x:c>
      <x:c r="C234" s="64" t="str">
        <x:v>hari</x:v>
      </x:c>
      <x:c r="D234" s="64" t="str">
        <x:v>2</x:v>
      </x:c>
      <x:c r="E234" s="64" t="str">
        <x:v>हरि</x:v>
      </x:c>
      <x:c r="F234" s="64" t="str">
        <x:v>ACCEPTABLE</x:v>
      </x:c>
    </x:row>
    <x:row r="235">
      <x:c r="A235" s="64" t="str">
        <x:v>R3A-FA58072CA297</x:v>
      </x:c>
      <x:c r="B235" s="64" t="str">
        <x:v>xyzzy</x:v>
      </x:c>
      <x:c r="C235" s="64" t="str">
        <x:v>xyzzy</x:v>
      </x:c>
      <x:c r="D235" s="64" t="str">
        <x:v>0</x:v>
      </x:c>
      <x:c r="E235" s="64" t="str">
        <x:v>xyzzy</x:v>
      </x:c>
      <x:c r="F235" s="64" t="str">
        <x:v>UNACCEPTABLE</x:v>
      </x:c>
    </x:row>
    <x:row r="236">
      <x:c r="A236" s="64" t="str">
        <x:v>R3A-1A54988625B4</x:v>
      </x:c>
      <x:c r="B236" s="64" t="str">
        <x:v>bill</x:v>
      </x:c>
      <x:c r="C236" s="64" t="str">
        <x:v>bill</x:v>
      </x:c>
      <x:c r="D236" s="64" t="str">
        <x:v>0</x:v>
      </x:c>
      <x:c r="E236" s="64" t="str">
        <x:v>bill</x:v>
      </x:c>
      <x:c r="F236" s="64" t="str">
        <x:v>UNACCEPTABLE</x:v>
      </x:c>
    </x:row>
    <x:row r="237">
      <x:c r="A237" s="64" t="str">
        <x:v>R3A-FBD090E9B85F</x:v>
      </x:c>
      <x:c r="B237" s="64" t="str">
        <x:v>foobar</x:v>
      </x:c>
      <x:c r="C237" s="64" t="str">
        <x:v>foobar</x:v>
      </x:c>
      <x:c r="D237" s="64" t="str">
        <x:v>0</x:v>
      </x:c>
      <x:c r="E237" s="64" t="str">
        <x:v>foobar</x:v>
      </x:c>
      <x:c r="F237" s="64" t="str">
        <x:v>UNACCEPTABLE</x:v>
      </x:c>
    </x:row>
    <x:row r="238">
      <x:c r="A238" s="64" t="str">
        <x:v>R3A-EAE133036C15</x:v>
      </x:c>
      <x:c r="B238" s="64" t="str">
        <x:v>cheque</x:v>
      </x:c>
      <x:c r="C238" s="64" t="str">
        <x:v>cheque</x:v>
      </x:c>
      <x:c r="D238" s="64" t="str">
        <x:v>0</x:v>
      </x:c>
      <x:c r="E238" s="64" t="str">
        <x:v>चेक</x:v>
      </x:c>
      <x:c r="F238" s="64" t="str">
        <x:v>ACCEPTABLE</x:v>
      </x:c>
    </x:row>
    <x:row r="239">
      <x:c r="A239" s="64" t="str">
        <x:v>R3A-EAE133036C15</x:v>
      </x:c>
      <x:c r="B239" s="64" t="str">
        <x:v>cheque</x:v>
      </x:c>
      <x:c r="C239" s="64" t="str">
        <x:v>cheque</x:v>
      </x:c>
      <x:c r="D239" s="64" t="str">
        <x:v>1</x:v>
      </x:c>
      <x:c r="E239" s="64" t="str">
        <x:v>cheque</x:v>
      </x:c>
      <x:c r="F239" s="64" t="str">
        <x:v>ACCEPTABLE</x:v>
      </x:c>
    </x:row>
    <x:row r="240">
      <x:c r="A240" s="64" t="str">
        <x:v>R3A-9ECEADADD41F</x:v>
      </x:c>
      <x:c r="B240" s="64" t="str">
        <x:v>ram</x:v>
      </x:c>
      <x:c r="C240" s="64" t="str">
        <x:v>ram</x:v>
      </x:c>
      <x:c r="D240" s="64" t="str">
        <x:v>0</x:v>
      </x:c>
      <x:c r="E240" s="64" t="str">
        <x:v>राम</x:v>
      </x:c>
      <x:c r="F240" s="64" t="str">
        <x:v>ACCEPTABLE</x:v>
      </x:c>
    </x:row>
    <x:row r="241">
      <x:c r="A241" s="64" t="str">
        <x:v>R3A-9ECEADADD41F</x:v>
      </x:c>
      <x:c r="B241" s="64" t="str">
        <x:v>ram</x:v>
      </x:c>
      <x:c r="C241" s="64" t="str">
        <x:v>ram</x:v>
      </x:c>
      <x:c r="D241" s="64" t="str">
        <x:v>1</x:v>
      </x:c>
      <x:c r="E241" s="64" t="str">
        <x:v>ram</x:v>
      </x:c>
      <x:c r="F241" s="64" t="str">
        <x:v>ACCEPTABLE</x:v>
      </x:c>
    </x:row>
    <x:row r="242">
      <x:c r="A242" s="64" t="str">
        <x:v>R3A-9ECEADADD41F</x:v>
      </x:c>
      <x:c r="B242" s="64" t="str">
        <x:v>ram</x:v>
      </x:c>
      <x:c r="C242" s="64" t="str">
        <x:v>ram</x:v>
      </x:c>
      <x:c r="D242" s="64" t="str">
        <x:v>2</x:v>
      </x:c>
      <x:c r="E242" s="64" t="str">
        <x:v>रम</x:v>
      </x:c>
      <x:c r="F242" s="64" t="str">
        <x:v>ACCEPTABLE</x:v>
      </x:c>
    </x:row>
    <x:row r="243">
      <x:c r="A243" s="64" t="str">
        <x:v>R3A-6B5C3F4B79C1</x:v>
      </x:c>
      <x:c r="B243" s="64" t="str">
        <x:v>nau</x:v>
      </x:c>
      <x:c r="C243" s="64" t="str">
        <x:v>nau</x:v>
      </x:c>
      <x:c r="D243" s="64" t="str">
        <x:v>0</x:v>
      </x:c>
      <x:c r="E243" s="64" t="str">
        <x:v>nau</x:v>
      </x:c>
      <x:c r="F243" s="64" t="str">
        <x:v>ACCEPTABLE</x:v>
      </x:c>
    </x:row>
    <x:row r="244">
      <x:c r="A244" s="64" t="str">
        <x:v>R3A-6B5C3F4B79C1</x:v>
      </x:c>
      <x:c r="B244" s="64" t="str">
        <x:v>nau</x:v>
      </x:c>
      <x:c r="C244" s="64" t="str">
        <x:v>nau</x:v>
      </x:c>
      <x:c r="D244" s="64" t="str">
        <x:v>1</x:v>
      </x:c>
      <x:c r="E244" s="64" t="str">
        <x:v>नौ</x:v>
      </x:c>
      <x:c r="F244" s="64" t="str">
        <x:v>ACCEPTABLE</x:v>
      </x:c>
    </x:row>
    <x:row r="245">
      <x:c r="A245" s="64" t="str">
        <x:v>R3A-A5AB853CA40E</x:v>
      </x:c>
      <x:c r="B245" s="64" t="str">
        <x:v>to</x:v>
      </x:c>
      <x:c r="C245" s="64" t="str">
        <x:v>to</x:v>
      </x:c>
      <x:c r="D245" s="64" t="str">
        <x:v>0</x:v>
      </x:c>
      <x:c r="E245" s="64" t="str">
        <x:v>to</x:v>
      </x:c>
      <x:c r="F245" s="64" t="str">
        <x:v>ACCEPTABLE</x:v>
      </x:c>
    </x:row>
    <x:row r="246">
      <x:c r="A246" s="64" t="str">
        <x:v>R3A-8BA19C672CD8</x:v>
      </x:c>
      <x:c r="B246" s="64" t="str">
        <x:v>blorp</x:v>
      </x:c>
      <x:c r="C246" s="64" t="str">
        <x:v>blorp</x:v>
      </x:c>
      <x:c r="D246" s="64" t="str">
        <x:v>0</x:v>
      </x:c>
      <x:c r="E246" s="64" t="str">
        <x:v>blorp</x:v>
      </x:c>
      <x:c r="F246" s="64" t="str">
        <x:v>CANNOT_DECIDE</x:v>
      </x:c>
    </x:row>
    <x:row r="247">
      <x:c r="A247" s="64" t="str">
        <x:v>R3A-3A26ACACC361</x:v>
      </x:c>
      <x:c r="B247" s="64" t="str">
        <x:v>were</x:v>
      </x:c>
      <x:c r="C247" s="64" t="str">
        <x:v>were</x:v>
      </x:c>
      <x:c r="D247" s="64" t="str">
        <x:v>0</x:v>
      </x:c>
      <x:c r="E247" s="64" t="str">
        <x:v>were</x:v>
      </x:c>
      <x:c r="F247" s="64" t="str">
        <x:v>ACCEPTABLE</x:v>
      </x:c>
    </x:row>
    <x:row r="248">
      <x:c r="A248" s="64" t="str">
        <x:v>R3A-D93DC8E227F5</x:v>
      </x:c>
      <x:c r="B248" s="64" t="str">
        <x:v>tax</x:v>
      </x:c>
      <x:c r="C248" s="64" t="str">
        <x:v>tax</x:v>
      </x:c>
      <x:c r="D248" s="64" t="str">
        <x:v>0</x:v>
      </x:c>
      <x:c r="E248" s="64" t="str">
        <x:v>कर</x:v>
      </x:c>
      <x:c r="F248" s="64" t="str">
        <x:v>ACCEPTABLE</x:v>
      </x:c>
    </x:row>
    <x:row r="249">
      <x:c r="A249" s="64" t="str">
        <x:v>R3A-D93DC8E227F5</x:v>
      </x:c>
      <x:c r="B249" s="64" t="str">
        <x:v>tax</x:v>
      </x:c>
      <x:c r="C249" s="64" t="str">
        <x:v>tax</x:v>
      </x:c>
      <x:c r="D249" s="64" t="str">
        <x:v>1</x:v>
      </x:c>
      <x:c r="E249" s="64" t="str">
        <x:v>tax</x:v>
      </x:c>
      <x:c r="F249" s="64" t="str">
        <x:v>ACCEPTABLE</x:v>
      </x:c>
    </x:row>
    <x:row r="250">
      <x:c r="A250" s="64" t="str">
        <x:v>R3A-D93DC8E227F5</x:v>
      </x:c>
      <x:c r="B250" s="64" t="str">
        <x:v>tax</x:v>
      </x:c>
      <x:c r="C250" s="64" t="str">
        <x:v>tax</x:v>
      </x:c>
      <x:c r="D250" s="64" t="str">
        <x:v>2</x:v>
      </x:c>
      <x:c r="E250" s="64" t="str">
        <x:v>ट्याक्स</x:v>
      </x:c>
      <x:c r="F250" s="64" t="str">
        <x:v>ACCEPTABLE</x:v>
      </x:c>
    </x:row>
    <x:row r="251">
      <x:c r="A251" s="64" t="str">
        <x:v>R3A-ECF297173878</x:v>
      </x:c>
      <x:c r="B251" s="64" t="str">
        <x:v>shyam</x:v>
      </x:c>
      <x:c r="C251" s="64" t="str">
        <x:v>shyam</x:v>
      </x:c>
      <x:c r="D251" s="64" t="str">
        <x:v>0</x:v>
      </x:c>
      <x:c r="E251" s="64" t="str">
        <x:v>श्याम</x:v>
      </x:c>
      <x:c r="F251" s="64" t="str">
        <x:v>ACCEPTABLE</x:v>
      </x:c>
    </x:row>
    <x:row r="252">
      <x:c r="A252" s="64" t="str">
        <x:v>R3A-ECF297173878</x:v>
      </x:c>
      <x:c r="B252" s="64" t="str">
        <x:v>shyam</x:v>
      </x:c>
      <x:c r="C252" s="64" t="str">
        <x:v>shyam</x:v>
      </x:c>
      <x:c r="D252" s="64" t="str">
        <x:v>1</x:v>
      </x:c>
      <x:c r="E252" s="64" t="str">
        <x:v>shyam</x:v>
      </x:c>
      <x:c r="F252" s="64" t="str">
        <x:v>ACCEPTABLE</x:v>
      </x:c>
    </x:row>
    <x:row r="253">
      <x:c r="A253" s="64" t="str">
        <x:v>R3A-ECF297173878</x:v>
      </x:c>
      <x:c r="B253" s="64" t="str">
        <x:v>shyam</x:v>
      </x:c>
      <x:c r="C253" s="64" t="str">
        <x:v>shyam</x:v>
      </x:c>
      <x:c r="D253" s="64" t="str">
        <x:v>2</x:v>
      </x:c>
      <x:c r="E253" s="64" t="str">
        <x:v>शयम</x:v>
      </x:c>
      <x:c r="F253" s="64" t="str">
        <x:v>UNACCEPTABLE</x:v>
      </x:c>
    </x:row>
    <x:row r="254">
      <x:c r="A254" s="64" t="str">
        <x:v>R3A-6F62469204B0</x:v>
      </x:c>
      <x:c r="B254" s="64" t="str">
        <x:v>saya</x:v>
      </x:c>
      <x:c r="C254" s="64" t="str">
        <x:v>saya</x:v>
      </x:c>
      <x:c r="D254" s="64" t="str">
        <x:v>0</x:v>
      </x:c>
      <x:c r="E254" s="64" t="str">
        <x:v>सय</x:v>
      </x:c>
      <x:c r="F254" s="64" t="str">
        <x:v>ACCEPTABLE</x:v>
      </x:c>
    </x:row>
    <x:row r="255">
      <x:c r="A255" s="64" t="str">
        <x:v>R3A-6F62469204B0</x:v>
      </x:c>
      <x:c r="B255" s="64" t="str">
        <x:v>saya</x:v>
      </x:c>
      <x:c r="C255" s="64" t="str">
        <x:v>saya</x:v>
      </x:c>
      <x:c r="D255" s="64" t="str">
        <x:v>1</x:v>
      </x:c>
      <x:c r="E255" s="64" t="str">
        <x:v>saya</x:v>
      </x:c>
      <x:c r="F255" s="64" t="str">
        <x:v>ACCEPTABLE</x:v>
      </x:c>
    </x:row>
    <x:row r="256">
      <x:c r="A256" s="64" t="str">
        <x:v>R3A-BF4FDB7BF4E3</x:v>
      </x:c>
      <x:c r="B256" s="64" t="str">
        <x:v>payment</x:v>
      </x:c>
      <x:c r="C256" s="64" t="str">
        <x:v>payment</x:v>
      </x:c>
      <x:c r="D256" s="64" t="str">
        <x:v>0</x:v>
      </x:c>
      <x:c r="E256" s="64" t="str">
        <x:v>payment</x:v>
      </x:c>
      <x:c r="F256" s="64" t="str">
        <x:v>ACCEPTABLE</x:v>
      </x:c>
    </x:row>
    <x:row r="257">
      <x:c r="A257" s="64" t="str">
        <x:v>R3A-BF4FDB7BF4E3</x:v>
      </x:c>
      <x:c r="B257" s="64" t="str">
        <x:v>payment</x:v>
      </x:c>
      <x:c r="C257" s="64" t="str">
        <x:v>payment</x:v>
      </x:c>
      <x:c r="D257" s="64" t="str">
        <x:v>1</x:v>
      </x:c>
      <x:c r="E257" s="64" t="str">
        <x:v>पेमेन्ट</x:v>
      </x:c>
      <x:c r="F257" s="64" t="str">
        <x:v>ACCEPTABLE</x:v>
      </x:c>
    </x:row>
    <x:row r="258">
      <x:c r="A258" s="64" t="str">
        <x:v>R3A-AD5C57F911FF</x:v>
      </x:c>
      <x:c r="B258" s="64" t="str">
        <x:v>qwerty</x:v>
      </x:c>
      <x:c r="C258" s="64" t="str">
        <x:v>qwerty</x:v>
      </x:c>
      <x:c r="D258" s="64" t="str">
        <x:v>0</x:v>
      </x:c>
      <x:c r="E258" s="64" t="str">
        <x:v>qwerty</x:v>
      </x:c>
      <x:c r="F258" s="64" t="str">
        <x:v>UNACCEPTABLE</x:v>
      </x:c>
    </x:row>
    <x:row r="259">
      <x:c r="A259" s="64" t="str">
        <x:v>R3A-9FB89CF5EB2E</x:v>
      </x:c>
      <x:c r="B259" s="64" t="str">
        <x:v>sale</x:v>
      </x:c>
      <x:c r="C259" s="64" t="str">
        <x:v>sale</x:v>
      </x:c>
      <x:c r="D259" s="64" t="str">
        <x:v>0</x:v>
      </x:c>
      <x:c r="E259" s="64" t="str">
        <x:v>sale</x:v>
      </x:c>
      <x:c r="F259" s="64" t="str">
        <x:v>ACCEPTABLE</x:v>
      </x:c>
    </x:row>
    <x:row r="260">
      <x:c r="A260" s="64" t="str">
        <x:v>R3A-9FB89CF5EB2E</x:v>
      </x:c>
      <x:c r="B260" s="64" t="str">
        <x:v>sale</x:v>
      </x:c>
      <x:c r="C260" s="64" t="str">
        <x:v>sale</x:v>
      </x:c>
      <x:c r="D260" s="64" t="str">
        <x:v>1</x:v>
      </x:c>
      <x:c r="E260" s="64" t="str">
        <x:v>बिक्री</x:v>
      </x:c>
      <x:c r="F260" s="64" t="str">
        <x:v>ACCEPTABLE</x:v>
      </x:c>
    </x:row>
    <x:row r="261">
      <x:c r="A261" s="64" t="str">
        <x:v>R3A-9FB89CF5EB2E</x:v>
      </x:c>
      <x:c r="B261" s="64" t="str">
        <x:v>sale</x:v>
      </x:c>
      <x:c r="C261" s="64" t="str">
        <x:v>sale</x:v>
      </x:c>
      <x:c r="D261" s="64" t="str">
        <x:v>2</x:v>
      </x:c>
      <x:c r="E261" s="64" t="str">
        <x:v>सलए</x:v>
      </x:c>
      <x:c r="F261" s="64" t="str">
        <x:v>UNACCEPTABLE</x:v>
      </x:c>
    </x:row>
    <x:row r="262">
      <x:c r="A262" s="64" t="str">
        <x:v>R3A-9FB89CF5EB2E</x:v>
      </x:c>
      <x:c r="B262" s="64" t="str">
        <x:v>sale</x:v>
      </x:c>
      <x:c r="C262" s="64" t="str">
        <x:v>sale</x:v>
      </x:c>
      <x:c r="D262" s="64" t="str">
        <x:v>3</x:v>
      </x:c>
      <x:c r="E262" s="64" t="str">
        <x:v>सेल</x:v>
      </x:c>
      <x:c r="F262" s="64" t="str">
        <x:v>ACCEPTABLE</x:v>
      </x:c>
    </x:row>
    <x:row r="263">
      <x:c r="A263" s="64" t="str">
        <x:v>R3A-5AB19BC3D6C1</x:v>
      </x:c>
      <x:c r="B263" s="64" t="str">
        <x:v>tomorrow</x:v>
      </x:c>
      <x:c r="C263" s="64" t="str">
        <x:v>tomorrow</x:v>
      </x:c>
      <x:c r="D263" s="64" t="str">
        <x:v>0</x:v>
      </x:c>
      <x:c r="E263" s="64" t="str">
        <x:v>tomorrow</x:v>
      </x:c>
      <x:c r="F263" s="64" t="str">
        <x:v>ACCEPTABLE</x:v>
      </x:c>
    </x:row>
    <x:row r="264">
      <x:c r="A264" s="64" t="str">
        <x:v>R3A-A2958A737E24</x:v>
      </x:c>
      <x:c r="B264" s="64" t="str">
        <x:v>xyzzy</x:v>
      </x:c>
      <x:c r="C264" s="64" t="str">
        <x:v>xyzzy</x:v>
      </x:c>
      <x:c r="D264" s="64" t="str">
        <x:v>0</x:v>
      </x:c>
      <x:c r="E264" s="64" t="str">
        <x:v>xyzzy</x:v>
      </x:c>
      <x:c r="F264" s="64" t="str">
        <x:v>UNACCEPTABLE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86" hidden="0" customWidth="1"/>
  </x:cols>
  <x:sheetData>
    <x:row r="1">
      <x:c r="A1" s="66" t="str">
        <x:v>MAI-07R3 Round B — LOCKED HUMAN REVIEW</x:v>
      </x:c>
      <x:c r="B1" s="66" t="str">
        <x:v>MAI-07R3 Round B — LOCKED HUMAN REVIEW</x:v>
      </x:c>
      <x:c r="C1" s="66" t="str">
        <x:v>MAI-07R3 Round B — LOCKED HUMAN REVIEW</x:v>
      </x:c>
      <x:c r="D1" s="66" t="str">
        <x:v>MAI-07R3 Round B — LOCKED HUMAN REVIEW</x:v>
      </x:c>
    </x:row>
    <x:row r="2">
      <x:c r="A2" s="66" t="str">
        <x:v>MAI-07R3 Round B — LOCKED HUMAN REVIEW</x:v>
      </x:c>
      <x:c r="B2" s="66" t="str">
        <x:v>MAI-07R3 Round B — LOCKED HUMAN REVIEW</x:v>
      </x:c>
      <x:c r="C2" s="66" t="str">
        <x:v>MAI-07R3 Round B — LOCKED HUMAN REVIEW</x:v>
      </x:c>
      <x:c r="D2" s="66" t="str">
        <x:v>MAI-07R3 Round B — LOCKED HUMAN REVIEW</x:v>
      </x:c>
    </x:row>
    <x:row r="4">
      <x:c r="A4" s="72" t="str">
        <x:v>Lock field</x:v>
      </x:c>
      <x:c r="B4" s="73" t="str">
        <x:v>Value</x:v>
      </x:c>
    </x:row>
    <x:row r="5" ht="30" customHeight="1">
      <x:c r="A5" s="74" t="str">
        <x:v>Status</x:v>
      </x:c>
      <x:c r="B5" s="75" t="str">
        <x:v>LOCKED</x:v>
      </x:c>
    </x:row>
    <x:row r="6" ht="30" customHeight="1">
      <x:c r="A6" s="74" t="str">
        <x:v>Reviewer</x:v>
      </x:c>
      <x:c r="B6" s="75" t="str">
        <x:v>Tapendra Awasthi</x:v>
      </x:c>
    </x:row>
    <x:row r="7" ht="30" customHeight="1">
      <x:c r="A7" s="74" t="str">
        <x:v>Round A locked before Round B</x:v>
      </x:c>
      <x:c r="B7" s="75" t="str">
        <x:v>YES</x:v>
      </x:c>
    </x:row>
    <x:row r="8" ht="30" customHeight="1">
      <x:c r="A8" s="74" t="str">
        <x:v>Product owner reviewed</x:v>
      </x:c>
      <x:c r="B8" s="75" t="str">
        <x:v>YES</x:v>
      </x:c>
    </x:row>
    <x:row r="9" ht="30" customHeight="1">
      <x:c r="A9" s="74" t="str">
        <x:v>Nepali-fluent reviewed</x:v>
      </x:c>
      <x:c r="B9" s="75" t="str">
        <x:v>YES</x:v>
      </x:c>
    </x:row>
    <x:row r="10" ht="30" customHeight="1">
      <x:c r="A10" s="74" t="str">
        <x:v>Professional linguist</x:v>
      </x:c>
      <x:c r="B10" s="75" t="str">
        <x:v>NO</x:v>
      </x:c>
    </x:row>
    <x:row r="11" ht="30" customHeight="1">
      <x:c r="A11" s="74" t="str">
        <x:v>Independent from Round A declared</x:v>
      </x:c>
      <x:c r="B11" s="75" t="str">
        <x:v>YES</x:v>
      </x:c>
    </x:row>
    <x:row r="12" ht="30" customHeight="1">
      <x:c r="A12" s="74" t="str">
        <x:v>Blind mapping not inspected</x:v>
      </x:c>
      <x:c r="B12" s="75" t="str">
        <x:v>YES</x:v>
      </x:c>
    </x:row>
    <x:row r="13" ht="30" customHeight="1">
      <x:c r="A13" s="74" t="str">
        <x:v>Ranks/scores/provenance not used</x:v>
      </x:c>
      <x:c r="B13" s="75" t="str">
        <x:v>YES</x:v>
      </x:c>
    </x:row>
    <x:row r="14" ht="30" customHeight="1">
      <x:c r="A14" s="74" t="str">
        <x:v>AI did not autofill decisions</x:v>
      </x:c>
      <x:c r="B14" s="75" t="str">
        <x:v>YES</x:v>
      </x:c>
    </x:row>
    <x:row r="15" ht="30" customHeight="1">
      <x:c r="A15" s="74" t="str">
        <x:v>Candidate judgments</x:v>
      </x:c>
      <x:c r="B15" s="75" t="n">
        <x:v>263</x:v>
      </x:c>
    </x:row>
    <x:row r="16" ht="30" customHeight="1">
      <x:c r="A16" s="74" t="str">
        <x:v>Complete</x:v>
      </x:c>
      <x:c r="B16" s="75" t="n">
        <x:v>263</x:v>
      </x:c>
    </x:row>
    <x:row r="17" ht="30" customHeight="1">
      <x:c r="A17" s="74" t="str">
        <x:v>Incomplete</x:v>
      </x:c>
      <x:c r="B17" s="75" t="n">
        <x:v>0</x:v>
      </x:c>
    </x:row>
    <x:row r="18" ht="30" customHeight="1">
      <x:c r="A18" s="74" t="str">
        <x:v>ACCEPTABLE</x:v>
      </x:c>
      <x:c r="B18" s="75" t="n">
        <x:v>223</x:v>
      </x:c>
    </x:row>
    <x:row r="19" ht="30" customHeight="1">
      <x:c r="A19" s="74" t="str">
        <x:v>UNACCEPTABLE</x:v>
      </x:c>
      <x:c r="B19" s="75" t="n">
        <x:v>36</x:v>
      </x:c>
    </x:row>
    <x:row r="20" ht="30" customHeight="1">
      <x:c r="A20" s="74" t="str">
        <x:v>CANNOT_DECIDE</x:v>
      </x:c>
      <x:c r="B20" s="75" t="n">
        <x:v>4</x:v>
      </x:c>
    </x:row>
    <x:row r="21" ht="30" customHeight="1">
      <x:c r="A21" s="74" t="str">
        <x:v>Locked CSV SHA-256</x:v>
      </x:c>
      <x:c r="B21" s="75" t="str">
        <x:v>79e229ebb381f76599e83c68a69fd40324a1efba196202e82afa15bfc44c8a61</x:v>
      </x:c>
    </x:row>
    <x:row r="22" ht="30" customHeight="1">
      <x:c r="A22" s="74" t="str">
        <x:v>Round B source SHA-256</x:v>
      </x:c>
      <x:c r="B22" s="75" t="str">
        <x:v>bb1d2b1929def4d1fc05b021bd7dcdc4238cad4fbeb23106fb1ef5d224b8b221</x:v>
      </x:c>
    </x:row>
    <x:row r="23" ht="30" customHeight="1">
      <x:c r="A23" s="74" t="str">
        <x:v>Locked Round A CSV SHA-256</x:v>
      </x:c>
      <x:c r="B23" s="75" t="str">
        <x:v>f01270e3017162259d2d305e158e86e386eb86841e4928b99546cd613d037f49</x:v>
      </x:c>
    </x:row>
    <x:row r="24" ht="30" customHeight="1">
      <x:c r="A24" s="76" t="str">
        <x:v>Locked at UTC</x:v>
      </x:c>
      <x:c r="B24" s="77" t="str">
        <x:v>UTC 2026-07-15T15:03:47.934Z</x:v>
      </x:c>
    </x:row>
  </x:sheetData>
  <x:mergeCells>
    <x:mergeCell ref="A1:D2"/>
  </x:mergeCells>
  <x:pageMargins left="0.7" right="0.7" top="0.75" bottom="0.75" header="0.3" footer="0.3"/>
</x:worksheet>
</file>